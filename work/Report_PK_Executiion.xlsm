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0" yWindow="0" windowWidth="20490" windowHeight="7650" firstSheet="7" activeTab="9"/>
  </bookViews>
  <sheets>
    <sheet name="Период" sheetId="4" state="hidden" r:id="rId1"/>
    <sheet name="Неделя" sheetId="3" state="hidden" r:id="rId2"/>
    <sheet name="Остатки" sheetId="2" state="hidden" r:id="rId3"/>
    <sheet name="Вспомогательные данные" sheetId="15" state="hidden" r:id="rId4"/>
    <sheet name="СводнаяТаблица_Периоды" sheetId="16" state="hidden" r:id="rId5"/>
    <sheet name="СводнаяТаблица_ТрансферыНедели" sheetId="21" state="hidden" r:id="rId6"/>
    <sheet name="СводнаяТаблица_ТрансферыПериоды" sheetId="20" state="hidden" r:id="rId7"/>
    <sheet name="ВызовФормы" sheetId="18" r:id="rId8"/>
    <sheet name="СводнаяТаблица_Недели" sheetId="17" state="hidden" r:id="rId9"/>
    <sheet name="Отчет" sheetId="6" r:id="rId10"/>
    <sheet name="ШаблонОтчета" sheetId="5" state="hidden" r:id="rId11"/>
  </sheets>
  <definedNames>
    <definedName name="_xlnm._FilterDatabase" localSheetId="9" hidden="1">Отчет!$A$3:$HIY$3</definedName>
    <definedName name="Анализ_исполнения_платежного_календаря_2016_04_14_02_.accdb" localSheetId="1" hidden="1">Неделя!$A$1:$H$41</definedName>
    <definedName name="Анализ_исполнения_платежного_календаря_2016_04_14_02_.accdb" localSheetId="0" hidden="1">Период!$A$1:$H$37</definedName>
    <definedName name="_xlnm.Print_Titles" localSheetId="9">Отчет!$A:$C</definedName>
    <definedName name="Заголовок" localSheetId="8">ШаблонОтчета!#REF!</definedName>
    <definedName name="Заголовок">ШаблонОтчета!#REF!</definedName>
    <definedName name="Запрос_из_MS_Access_Database" localSheetId="3" hidden="1">'Вспомогательные данные'!$J$1:$N$5</definedName>
    <definedName name="Запрос_из_MS_Access_Database_1" localSheetId="3" hidden="1">'Вспомогательные данные'!$P$1:$P$2</definedName>
    <definedName name="Запрос_из_ВспомогательныеДанные" localSheetId="3" hidden="1">'Вспомогательные данные'!#REF!</definedName>
    <definedName name="Запрос_из_РабочаяБазаДанных" localSheetId="3" hidden="1">'Вспомогательные данные'!$A$1:$F$2</definedName>
    <definedName name="Запрос_из_РабочаяБазаДанных" localSheetId="2" hidden="1">Остатки!$A$1:$C$16</definedName>
    <definedName name="Запрос_из_РабочаяБазаДанных_1" localSheetId="3" hidden="1">'Вспомогательные данные'!$H$1:$H$6</definedName>
    <definedName name="Формат_СальдоВходящее">ШаблонОтчета!$D$4</definedName>
    <definedName name="ШаблонОтчета">ШаблонОтчета!$A$1:$H$10</definedName>
  </definedNames>
  <calcPr calcId="144525" calcMode="manual"/>
  <pivotCaches>
    <pivotCache cacheId="37" r:id="rId12"/>
    <pivotCache cacheId="39" r:id="rId13"/>
    <pivotCache cacheId="41" r:id="rId14"/>
    <pivotCache cacheId="43" r:id="rId15"/>
    <pivotCache cacheId="45" r:id="rId16"/>
  </pivotCaches>
</workbook>
</file>

<file path=xl/calcChain.xml><?xml version="1.0" encoding="utf-8"?>
<calcChain xmlns="http://schemas.openxmlformats.org/spreadsheetml/2006/main">
  <c r="F42" i="6" l="1"/>
  <c r="F44" i="6" s="1"/>
  <c r="E42" i="6"/>
  <c r="E44" i="6" s="1"/>
  <c r="I42" i="6"/>
  <c r="I44" i="6" s="1"/>
  <c r="H42" i="6"/>
  <c r="H44" i="6" s="1"/>
  <c r="N42" i="6"/>
  <c r="L42" i="6"/>
  <c r="L44" i="6" s="1"/>
  <c r="K42" i="6"/>
  <c r="D42" i="6"/>
  <c r="G42" i="6" l="1"/>
  <c r="M42" i="6"/>
  <c r="K44" i="6"/>
  <c r="J42" i="6"/>
  <c r="H7" i="5"/>
  <c r="F7" i="5"/>
  <c r="F9" i="5" s="1"/>
  <c r="E7" i="5"/>
  <c r="E9" i="5" s="1"/>
  <c r="D7" i="5"/>
  <c r="G7" i="5" l="1"/>
</calcChain>
</file>

<file path=xl/connections.xml><?xml version="1.0" encoding="utf-8"?>
<connections xmlns="http://schemas.openxmlformats.org/spreadsheetml/2006/main">
  <connection id="1" keepAlive="1" name="Анализ исполнения платежного календаря_2016_04_14(02)" type="5" refreshedVersion="3" deleted="1" background="1" saveData="1">
    <dbPr connection="" command="" commandType="3"/>
  </connection>
  <connection id="2" keepAlive="1" name="Анализ исполнения платежного календаря_2016_04_14(02)1" type="5" refreshedVersion="3" deleted="1" background="1" saveData="1">
    <dbPr connection="" command="" commandType="3"/>
  </connection>
  <connection id="3" name="ВспомогательныеДанные_ВходящееСальдо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[Отчет по периодам].[Поступление/Расход], [Отчет по периодам].[Рубрика/Категория], [Отчет по периодам].Наименование, Sum([Отчет по периодам].Отклонение) AS [Sum-Отклонение]_x000d__x000a_FROM [Отчет по периодам]_x000d__x000a_WHERE ([Отчет по периодам].Дата &lt; #2/1/2016#) AND ([Отчет по периодам].ЦФО='(Не указано)' OR [Отчет по периодам].ЦФО='Москва' OR [Отчет по периодам].ЦФО='Новосибирск' OR [Отчет по периодам].ЦФО='Тверь' OR [Отчет по периодам].ЦФО='Тула')_x000d__x000a_GROUP BY [Отчет по периодам].[Поступление/Расход], [Отчет по периодам].[Рубрика/Категория], [Отчет по периодам].Наименование;"/>
  </connection>
  <connection id="4" name="ВспомогательныеДанные_ВходящиеТрансферы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[Отчет по периодам].Наименование, [Отчет по периодам].[Номер договора], Sum(IIf([Отчет по периодам].[Поступление/Расход]='Поступления',[Отчет по периодам].[План]* (-1),[Отчет по периодам].[План])) AS [Sum-План], Sum(IIf([Отчет по периодам].[Поступление/Расход]='Поступления',[Отчет по периодам].[Факт]* (-1),[Отчет по периодам].[Факт])) AS [Sum-Факт], [Sum-Факт] - [Sum-План] AS [Sum-Отклонение]_x000d__x000a_FROM [Отчет по периодам]_x000d__x000a_WHERE ([Отчет по периодам].Дата &lt; #2/1/2016#) AND ([Отчет по периодам].[Рубрика/Категория] like '%Трансфер%')_x000d__x000a_GROUP BY [Отчет по периодам].Наименование,  [Отчет по периодам].[Номер договора];"/>
  </connection>
  <connection id="5" name="ВспомогательныеДанные_МинПериод" type="1" refreshedVersion="4" background="1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Min([Дата, год, месяц, неделя].Дата) AS [Min-Дата], First([Дата, год, месяц, неделя].[Год]) AS [Мин-Год], First([Дата, год, месяц, неделя].[Месяц]) AS [Мин-Месяц], First([Дата, год, месяц, неделя].[Период]) AS [Мин-Период], First([Дата, год, месяц, неделя].[Неделя]) AS [Мин-Неделя], First([Дата, год, месяц, неделя].[ГодНеделя]) AS [Мин-ГодНеделя]_x000d__x000a_FROM [Дата, год, месяц, неделя];"/>
  </connection>
  <connection id="6" name="Остатки" type="1" refreshedVersion="4" background="1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Остатки.Период, Остатки.ГодНеделя_Остатки, Остатки.Остаток_x000d__x000a_FROM Остатки Остатки"/>
  </connection>
  <connection id="7" name="ПереченьЦФО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`Перечень ЦФО`.ЦФО_x000d__x000a_FROM `Перечень ЦФО` `Перечень ЦФО`"/>
  </connection>
  <connection id="8" name="СводнаяТаблица_Недели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`Отчет по неделям`.ГодНеделя, `Отчет по неделям`.Дата, `Отчет по неделям`.`Поступление/Расход`, `Отчет по неделям`.`Рубрика/Категория`, `Отчет по неделям`.Наименование, `Отчет по неделям`.`Номер договора`, `Отчет по неделям`.ЦФО,`Отчет по неделям`.Факт, `Отчет по неделям`.План, `Отчет по неделям`.Отклонение_x000d__x000a_FROM `Отчет по неделям`_x000d__x000a_WHERE ((([Отчет по неделям].Дата)&gt;=#3/14/2016#) AND (([Отчет по неделям].Дата)&lt;#8/1/2016#));"/>
  </connection>
  <connection id="9" name="СводнаяТаблица_Периоды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`Отчет по периодам`.Период, `Отчет по периодам`.Дата, `Отчет по периодам`.`Поступление/Расход`, `Отчет по периодам`.`Рубрика/Категория`, `Отчет по периодам`.Наименование, `Отчет по периодам`.`Номер договора`, `Отчет по периодам`.ЦФО, `Отчет по периодам`.Факт, `Отчет по периодам`.План, `Отчет по периодам`.Отклонение_x000d__x000a_FROM `Отчет по периодам`_x000d__x000a_WHERE ((([Отчет по периодам].Дата)&gt;=#2/1/2016#) AND (([Отчет по периодам].Дата)&lt;#9/1/2016#));"/>
  </connection>
  <connection id="10" name="СводнаяТаблица_ТрансферыНедели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`Отчет по неделям`.ГодНеделя, `Отчет по неделям`.Дата, `Отчет по неделям`.Наименование, `Отчет по неделям`.`Номер договора`, `Отчет по неделям`.ЦФО, IIf([Отчет по неделям].[Поступление/Расход]='Поступления',[Отчет по неделям].[Факт]* (-1),[Отчет по неделям].[Факт] )  as [Факт], IIf([Отчет по неделям].[Поступление/Расход]='Поступления',[Отчет по неделям].[План]* (-1),[Отчет по неделям].[План])  as [План], [Факт] - [План] as [Отклонение]_x000d__x000a_FROM `Отчет по неделям`_x000d__x000a_WHERE ((([Отчет по неделям].Дата)&gt;=#3/14/2016#) AND (([Отчет по неделям].Дата)&lt;#8/1/2016#)) AND (`Отчет по неделям`.`Рубрика/Категория` like '%Трансфер%');"/>
  </connection>
  <connection id="11" name="СводнаяТаблица_ТрансферыПериоды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`Отчет по периодам`.Период, `Отчет по периодам`.Дата, `Отчет по периодам`.Наименование, `Отчет по периодам`.`Номер договора`, `Отчет по периодам`.ЦФО, IIf([Отчет по периодам].[Поступление/Расход]='Поступления',[Отчет по периодам].[Факт]* (-1),[Отчет по периодам].[Факт])  as [Факт], IIf([Отчет по периодам].[Поступление/Расход]='Поступления',[Отчет по периодам].[План]* (-1),[Отчет по периодам].[План])  as [План], [Факт] - [План] as [Отклонение]_x000d__x000a_FROM `Отчет по периодам`_x000d__x000a_WHERE ((([Отчет по периодам].Дата)&gt;=#2/1/2016#) AND (([Отчет по периодам].Дата)&lt;#9/1/2016#)) AND (`Отчет по периодам`.`Рубрика/Категория` like '%Трансфер%');"/>
  </connection>
  <connection id="12" name="ЧислоНеОпределенныхПериодов" type="1" refreshedVersion="4" saveData="1">
    <dbPr connection="DBQ=F:\Temp\git_Freelance\PayAnalyzeCalendar.accdb;DefaultDir=F:\Temp\git_Freelance;Driver={Microsoft Access Driver (*.mdb, *.accdb)};DriverId=25;FIL=MS Access;MaxBufferSize=2048;MaxScanRows=8;PageTimeout=5;SafeTransactions=0;Threads=3;UID=admin;UserCommitSync=Yes;" command="SELECT Count(ПП_Консолидация_ДляОтчета.Период) AS [ЧислоНеопреденныхПериодов]_x000d__x000a_FROM ПП_Консолидация_ДляОтчета_x000d__x000a_WHERE ПП_Консолидация_ДляОтчета.Период = '1970-01'_x000d__x000a_GROUP BY ПП_Консолидация_ДляОтчета.Период;"/>
  </connection>
</connections>
</file>

<file path=xl/sharedStrings.xml><?xml version="1.0" encoding="utf-8"?>
<sst xmlns="http://schemas.openxmlformats.org/spreadsheetml/2006/main" count="689" uniqueCount="110">
  <si>
    <t>Период</t>
  </si>
  <si>
    <t>Наименование</t>
  </si>
  <si>
    <t>2015-12</t>
  </si>
  <si>
    <t>АО НПК "Катрен"</t>
  </si>
  <si>
    <t>ПАО "Ростелеком"</t>
  </si>
  <si>
    <t>2016-01</t>
  </si>
  <si>
    <t>ЗАО "УК"Лидер"</t>
  </si>
  <si>
    <t>ОАО "Тульский таксопарк"</t>
  </si>
  <si>
    <t>ООО "Юлмарт РСК"</t>
  </si>
  <si>
    <t>Открытое акционерное общество "Тульский таксопарк"</t>
  </si>
  <si>
    <t>2016-02</t>
  </si>
  <si>
    <t>2016-03</t>
  </si>
  <si>
    <t>Прочее</t>
  </si>
  <si>
    <t>Неделя</t>
  </si>
  <si>
    <t>Остаток</t>
  </si>
  <si>
    <t>Категория</t>
  </si>
  <si>
    <t>Номер договора</t>
  </si>
  <si>
    <t>ЦФО</t>
  </si>
  <si>
    <t>1 кат</t>
  </si>
  <si>
    <t/>
  </si>
  <si>
    <t>Москва</t>
  </si>
  <si>
    <t>4кат</t>
  </si>
  <si>
    <t>Тверь</t>
  </si>
  <si>
    <t>МБП</t>
  </si>
  <si>
    <t>Новосибирск</t>
  </si>
  <si>
    <t>01/25/1212-15</t>
  </si>
  <si>
    <t>Аренда</t>
  </si>
  <si>
    <t>34</t>
  </si>
  <si>
    <t>Тула</t>
  </si>
  <si>
    <t>Эксплуатация</t>
  </si>
  <si>
    <t>38/АР-14</t>
  </si>
  <si>
    <t>61/05-08</t>
  </si>
  <si>
    <t>79/05-10</t>
  </si>
  <si>
    <t>34 от 09.04.07 согл. О переплате</t>
  </si>
  <si>
    <t>б/н</t>
  </si>
  <si>
    <t>38/АР-14 от 01.01.15</t>
  </si>
  <si>
    <t>2158501</t>
  </si>
  <si>
    <t>07/25/98-15</t>
  </si>
  <si>
    <t>38</t>
  </si>
  <si>
    <t>2016-04</t>
  </si>
  <si>
    <t>2016-05</t>
  </si>
  <si>
    <t>План</t>
  </si>
  <si>
    <t>Факт</t>
  </si>
  <si>
    <t>Отклонение</t>
  </si>
  <si>
    <t>ПОСТУПЛЕНИЯ</t>
  </si>
  <si>
    <t>РАСХОДЫ</t>
  </si>
  <si>
    <t>Оборот</t>
  </si>
  <si>
    <t>Остаток денежных средств на начало периода</t>
  </si>
  <si>
    <t>Остаток денежных средств на конец периода</t>
  </si>
  <si>
    <t>Min-Дата</t>
  </si>
  <si>
    <t>Мин-Период</t>
  </si>
  <si>
    <t>Мин-Неделя</t>
  </si>
  <si>
    <t>Сумма по полю Факт</t>
  </si>
  <si>
    <t>Сумма по полю Отклонение</t>
  </si>
  <si>
    <t>Сумма по полю План</t>
  </si>
  <si>
    <t>Перенайм/Аренда</t>
  </si>
  <si>
    <t>Поступления</t>
  </si>
  <si>
    <t>Расходы</t>
  </si>
  <si>
    <t>Значения</t>
  </si>
  <si>
    <t>Поступление/Расход</t>
  </si>
  <si>
    <t>Рубрика/Категория</t>
  </si>
  <si>
    <t>Анализ исполнения платежного календаря</t>
  </si>
  <si>
    <t>Сумма по полю Sum-Отклонение</t>
  </si>
  <si>
    <t>Мин-Год</t>
  </si>
  <si>
    <t>Мин-Месяц</t>
  </si>
  <si>
    <t>Входящее сальдо</t>
  </si>
  <si>
    <t>Сальдо входящее</t>
  </si>
  <si>
    <t>Сальдо исходящее</t>
  </si>
  <si>
    <t xml:space="preserve">Период: с # по # | Контрагенты: # | Договора: #
ЦФО: все </t>
  </si>
  <si>
    <t>Мин-ГодНеделя</t>
  </si>
  <si>
    <t>ГодНеделя</t>
  </si>
  <si>
    <t>Клиент/4 кат</t>
  </si>
  <si>
    <t>ГодНеделя_Остатки</t>
  </si>
  <si>
    <t>2016, 1</t>
  </si>
  <si>
    <t>2016, 2</t>
  </si>
  <si>
    <t>2016, 3</t>
  </si>
  <si>
    <t>2016, 4</t>
  </si>
  <si>
    <t>2016, 5</t>
  </si>
  <si>
    <t>2016, 6</t>
  </si>
  <si>
    <t>2016, 7</t>
  </si>
  <si>
    <t>2016, 8</t>
  </si>
  <si>
    <t>2016, 9</t>
  </si>
  <si>
    <t>2016, 10</t>
  </si>
  <si>
    <t>2016, 11</t>
  </si>
  <si>
    <t>2016, 12</t>
  </si>
  <si>
    <t>Клиент/1 кат</t>
  </si>
  <si>
    <t>(Все)</t>
  </si>
  <si>
    <t>Sum-Факт</t>
  </si>
  <si>
    <t>Sum-План</t>
  </si>
  <si>
    <t>Sum-Отклонение</t>
  </si>
  <si>
    <t>2015, неделя 53</t>
  </si>
  <si>
    <t>2016, неделя 15</t>
  </si>
  <si>
    <t>2016, неделя 16</t>
  </si>
  <si>
    <t>2016, неделя 17</t>
  </si>
  <si>
    <t>Ожидание Трансфера</t>
  </si>
  <si>
    <t>ЮЛ 2</t>
  </si>
  <si>
    <t>ЮЛ 1</t>
  </si>
  <si>
    <t>ЮЛ 3</t>
  </si>
  <si>
    <t>15</t>
  </si>
  <si>
    <t>ЮЛ 4</t>
  </si>
  <si>
    <t>ООО "СервисКлауд"</t>
  </si>
  <si>
    <t>Трансфер/</t>
  </si>
  <si>
    <t>2016, неделя 12</t>
  </si>
  <si>
    <t>2016, неделя 13</t>
  </si>
  <si>
    <t>2016, неделя 14</t>
  </si>
  <si>
    <t>(Не указано)</t>
  </si>
  <si>
    <t>2016, неделя 18</t>
  </si>
  <si>
    <t>Общий итог</t>
  </si>
  <si>
    <t>ЧислоНеопреденныхПериодов</t>
  </si>
  <si>
    <t>Тип отчета: по ДДС | Период по месяцам: С 2016-2 По 2016-8_x000D_
Входящее сальдо: учитывать | Контрагенты: показать | Договора: показать_x000D_
ЦФО: (Не указано); Москва; Новосибирск; Тверь; Тула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</si>
</sst>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#,##0&quot;р.&quot;;\-#,##0&quot;р.&quot;"/>
    <numFmt numFmtId="44" formatCode="_-* #,##0.00&quot;р.&quot;_-;\-* #,##0.00&quot;р.&quot;_-;_-* &quot;-&quot;??&quot;р.&quot;_-;_-@_-"/>
    <numFmt numFmtId="164" formatCode="#,##0&quot;р.&quot;"/>
    <numFmt numFmtId="165" formatCode="0;\-0;;@"/>
    <numFmt numFmtId="166" formatCode="#,##0&quot;р.&quot;;\-#,##0&quot;р.&quot;;;@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4"/>
      <color theme="3" tint="-0.249977111117893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1"/>
      <color rgb="FF808080"/>
      <name val="Calibri"/>
      <family val="2"/>
      <charset val="204"/>
      <scheme val="minor"/>
    </font>
    <font>
      <b/>
      <sz val="11"/>
      <color rgb="FF808080"/>
      <name val="Calibri"/>
      <family val="2"/>
      <charset val="204"/>
      <scheme val="minor"/>
    </font>
    <font>
      <sz val="8"/>
      <color rgb="FF808080"/>
      <name val="Calibri"/>
      <family val="2"/>
      <charset val="204"/>
      <scheme val="minor"/>
    </font>
    <font>
      <b/>
      <sz val="8"/>
      <color rgb="FF808080"/>
      <name val="Calibri"/>
      <family val="2"/>
      <charset val="204"/>
      <scheme val="minor"/>
    </font>
    <font>
      <sz val="8"/>
      <color rgb="FF80808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105">
    <xf numFmtId="0" fontId="0" fillId="0" borderId="0" xfId="0"/>
    <xf numFmtId="0" fontId="0" fillId="0" borderId="0" xfId="0" applyBorder="1" applyAlignment="1">
      <alignment horizontal="center" vertical="center"/>
    </xf>
    <xf numFmtId="0" fontId="4" fillId="2" borderId="0" xfId="2" applyBorder="1"/>
    <xf numFmtId="0" fontId="7" fillId="0" borderId="0" xfId="0" applyFont="1" applyBorder="1"/>
    <xf numFmtId="0" fontId="0" fillId="0" borderId="3" xfId="0" applyBorder="1"/>
    <xf numFmtId="0" fontId="7" fillId="0" borderId="4" xfId="0" applyFont="1" applyBorder="1"/>
    <xf numFmtId="164" fontId="0" fillId="3" borderId="10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0" borderId="0" xfId="0" pivotButton="1"/>
    <xf numFmtId="22" fontId="0" fillId="0" borderId="0" xfId="0" applyNumberFormat="1"/>
    <xf numFmtId="0" fontId="0" fillId="4" borderId="0" xfId="0" applyFill="1"/>
    <xf numFmtId="0" fontId="0" fillId="0" borderId="0" xfId="0" applyAlignment="1">
      <alignment horizontal="right"/>
    </xf>
    <xf numFmtId="0" fontId="4" fillId="2" borderId="6" xfId="2" applyBorder="1" applyAlignment="1">
      <alignment horizontal="right"/>
    </xf>
    <xf numFmtId="0" fontId="7" fillId="0" borderId="6" xfId="0" applyFont="1" applyBorder="1" applyAlignment="1">
      <alignment horizontal="right"/>
    </xf>
    <xf numFmtId="0" fontId="7" fillId="0" borderId="7" xfId="0" applyFont="1" applyBorder="1" applyAlignment="1">
      <alignment horizontal="right"/>
    </xf>
    <xf numFmtId="165" fontId="0" fillId="0" borderId="0" xfId="0" applyNumberFormat="1"/>
    <xf numFmtId="5" fontId="4" fillId="2" borderId="10" xfId="2" applyNumberFormat="1" applyBorder="1" applyAlignment="1">
      <alignment horizontal="center" vertical="center"/>
    </xf>
    <xf numFmtId="5" fontId="0" fillId="3" borderId="10" xfId="0" applyNumberFormat="1" applyFont="1" applyFill="1" applyBorder="1" applyAlignment="1">
      <alignment horizontal="center" vertical="center"/>
    </xf>
    <xf numFmtId="5" fontId="0" fillId="3" borderId="10" xfId="0" applyNumberFormat="1" applyFill="1" applyBorder="1" applyAlignment="1">
      <alignment horizontal="center" vertical="center"/>
    </xf>
    <xf numFmtId="0" fontId="0" fillId="6" borderId="0" xfId="0" applyFill="1"/>
    <xf numFmtId="0" fontId="0" fillId="0" borderId="0" xfId="0" applyNumberFormat="1"/>
    <xf numFmtId="166" fontId="4" fillId="2" borderId="0" xfId="2" applyNumberFormat="1" applyBorder="1" applyAlignment="1">
      <alignment horizontal="center" vertical="center"/>
    </xf>
    <xf numFmtId="166" fontId="0" fillId="0" borderId="0" xfId="1" applyNumberFormat="1" applyFont="1" applyBorder="1" applyAlignment="1">
      <alignment horizontal="center" vertical="center"/>
    </xf>
    <xf numFmtId="166" fontId="1" fillId="0" borderId="0" xfId="1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6" fontId="0" fillId="0" borderId="0" xfId="0" applyNumberFormat="1"/>
    <xf numFmtId="0" fontId="8" fillId="0" borderId="0" xfId="0" pivotButton="1" applyFont="1"/>
    <xf numFmtId="0" fontId="8" fillId="0" borderId="0" xfId="0" applyFont="1"/>
    <xf numFmtId="0" fontId="0" fillId="0" borderId="11" xfId="0" applyBorder="1"/>
    <xf numFmtId="0" fontId="4" fillId="2" borderId="1" xfId="2" applyBorder="1"/>
    <xf numFmtId="0" fontId="4" fillId="2" borderId="2" xfId="2" applyBorder="1"/>
    <xf numFmtId="0" fontId="4" fillId="2" borderId="2" xfId="2" applyBorder="1" applyAlignment="1">
      <alignment horizontal="right"/>
    </xf>
    <xf numFmtId="0" fontId="0" fillId="0" borderId="0" xfId="0" applyBorder="1"/>
    <xf numFmtId="0" fontId="0" fillId="0" borderId="4" xfId="0" applyBorder="1"/>
    <xf numFmtId="0" fontId="6" fillId="0" borderId="11" xfId="0" applyFont="1" applyBorder="1"/>
    <xf numFmtId="0" fontId="6" fillId="0" borderId="0" xfId="0" applyFont="1" applyBorder="1"/>
    <xf numFmtId="0" fontId="6" fillId="0" borderId="6" xfId="0" applyFont="1" applyBorder="1" applyAlignment="1">
      <alignment horizontal="right"/>
    </xf>
    <xf numFmtId="0" fontId="6" fillId="0" borderId="0" xfId="0" applyFont="1"/>
    <xf numFmtId="0" fontId="0" fillId="0" borderId="2" xfId="0" applyBorder="1"/>
    <xf numFmtId="0" fontId="10" fillId="0" borderId="11" xfId="0" applyFont="1" applyBorder="1"/>
    <xf numFmtId="0" fontId="10" fillId="0" borderId="0" xfId="0" applyFont="1"/>
    <xf numFmtId="0" fontId="12" fillId="0" borderId="11" xfId="0" applyFont="1" applyBorder="1"/>
    <xf numFmtId="0" fontId="12" fillId="0" borderId="0" xfId="0" applyFont="1" applyBorder="1"/>
    <xf numFmtId="0" fontId="12" fillId="0" borderId="6" xfId="0" applyFont="1" applyBorder="1" applyAlignment="1">
      <alignment horizontal="right"/>
    </xf>
    <xf numFmtId="0" fontId="12" fillId="0" borderId="0" xfId="0" applyFont="1"/>
    <xf numFmtId="0" fontId="14" fillId="0" borderId="0" xfId="0" applyFont="1" applyBorder="1"/>
    <xf numFmtId="0" fontId="14" fillId="0" borderId="6" xfId="0" applyFont="1" applyBorder="1" applyAlignment="1">
      <alignment horizontal="right"/>
    </xf>
    <xf numFmtId="0" fontId="8" fillId="0" borderId="0" xfId="0" applyNumberFormat="1" applyFont="1"/>
    <xf numFmtId="166" fontId="6" fillId="0" borderId="0" xfId="1" applyNumberFormat="1" applyFont="1" applyBorder="1" applyAlignment="1">
      <alignment horizontal="center" vertical="center"/>
    </xf>
    <xf numFmtId="166" fontId="10" fillId="0" borderId="0" xfId="1" applyNumberFormat="1" applyFont="1" applyBorder="1" applyAlignment="1">
      <alignment horizontal="center" vertical="center"/>
    </xf>
    <xf numFmtId="166" fontId="12" fillId="0" borderId="0" xfId="1" applyNumberFormat="1" applyFont="1" applyBorder="1" applyAlignment="1">
      <alignment horizontal="center" vertical="center"/>
    </xf>
    <xf numFmtId="166" fontId="4" fillId="2" borderId="2" xfId="2" applyNumberFormat="1" applyBorder="1" applyAlignment="1">
      <alignment horizontal="center" vertical="center"/>
    </xf>
    <xf numFmtId="166" fontId="0" fillId="0" borderId="0" xfId="0" applyNumberFormat="1" applyBorder="1"/>
    <xf numFmtId="166" fontId="0" fillId="0" borderId="4" xfId="0" applyNumberFormat="1" applyBorder="1"/>
    <xf numFmtId="0" fontId="4" fillId="2" borderId="15" xfId="2" applyBorder="1"/>
    <xf numFmtId="0" fontId="4" fillId="2" borderId="16" xfId="2" applyBorder="1"/>
    <xf numFmtId="0" fontId="4" fillId="2" borderId="16" xfId="2" applyBorder="1" applyAlignment="1">
      <alignment horizontal="right"/>
    </xf>
    <xf numFmtId="5" fontId="4" fillId="2" borderId="16" xfId="2" applyNumberFormat="1" applyBorder="1" applyAlignment="1">
      <alignment horizontal="center" vertical="center"/>
    </xf>
    <xf numFmtId="166" fontId="4" fillId="2" borderId="16" xfId="2" applyNumberFormat="1" applyBorder="1" applyAlignment="1">
      <alignment horizontal="center" vertical="center"/>
    </xf>
    <xf numFmtId="0" fontId="0" fillId="0" borderId="0" xfId="0" applyAlignment="1">
      <alignment wrapText="1"/>
    </xf>
    <xf numFmtId="166" fontId="0" fillId="0" borderId="0" xfId="0" applyNumberFormat="1" applyBorder="1" applyAlignment="1">
      <alignment horizontal="center" vertical="center"/>
    </xf>
    <xf numFmtId="166" fontId="0" fillId="0" borderId="0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5" fontId="4" fillId="2" borderId="17" xfId="2" applyNumberFormat="1" applyBorder="1" applyAlignment="1">
      <alignment horizontal="center" vertical="center"/>
    </xf>
    <xf numFmtId="0" fontId="4" fillId="2" borderId="11" xfId="2" applyBorder="1"/>
    <xf numFmtId="5" fontId="2" fillId="2" borderId="13" xfId="2" applyNumberFormat="1" applyFont="1" applyBorder="1" applyAlignment="1">
      <alignment horizontal="center" vertical="center"/>
    </xf>
    <xf numFmtId="5" fontId="3" fillId="3" borderId="13" xfId="1" applyNumberFormat="1" applyFont="1" applyFill="1" applyBorder="1" applyAlignment="1">
      <alignment horizontal="center" vertical="center"/>
    </xf>
    <xf numFmtId="5" fontId="3" fillId="3" borderId="13" xfId="0" applyNumberFormat="1" applyFont="1" applyFill="1" applyBorder="1" applyAlignment="1">
      <alignment horizontal="center" vertical="center"/>
    </xf>
    <xf numFmtId="5" fontId="4" fillId="2" borderId="13" xfId="2" applyNumberFormat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4" xfId="0" applyNumberFormat="1" applyFont="1" applyFill="1" applyBorder="1" applyAlignment="1">
      <alignment horizontal="center" vertical="center"/>
    </xf>
    <xf numFmtId="5" fontId="4" fillId="2" borderId="9" xfId="2" applyNumberFormat="1" applyBorder="1" applyAlignment="1">
      <alignment horizontal="center" vertical="center"/>
    </xf>
    <xf numFmtId="5" fontId="0" fillId="3" borderId="8" xfId="0" applyNumberFormat="1" applyFont="1" applyFill="1" applyBorder="1" applyAlignment="1">
      <alignment horizontal="center" vertical="center"/>
    </xf>
    <xf numFmtId="5" fontId="6" fillId="3" borderId="10" xfId="0" applyNumberFormat="1" applyFont="1" applyFill="1" applyBorder="1" applyAlignment="1">
      <alignment horizontal="center" vertical="center"/>
    </xf>
    <xf numFmtId="5" fontId="10" fillId="3" borderId="10" xfId="0" applyNumberFormat="1" applyFont="1" applyFill="1" applyBorder="1" applyAlignment="1">
      <alignment horizontal="center" vertical="center"/>
    </xf>
    <xf numFmtId="5" fontId="12" fillId="3" borderId="10" xfId="0" applyNumberFormat="1" applyFont="1" applyFill="1" applyBorder="1" applyAlignment="1">
      <alignment horizontal="center" vertical="center"/>
    </xf>
    <xf numFmtId="166" fontId="4" fillId="2" borderId="18" xfId="2" applyNumberFormat="1" applyBorder="1" applyAlignment="1">
      <alignment horizontal="center" vertical="center"/>
    </xf>
    <xf numFmtId="166" fontId="0" fillId="0" borderId="19" xfId="0" applyNumberFormat="1" applyBorder="1"/>
    <xf numFmtId="166" fontId="0" fillId="0" borderId="20" xfId="0" applyNumberFormat="1" applyBorder="1"/>
    <xf numFmtId="166" fontId="6" fillId="0" borderId="0" xfId="0" applyNumberFormat="1" applyFont="1" applyBorder="1" applyAlignment="1">
      <alignment horizontal="center" vertical="center"/>
    </xf>
    <xf numFmtId="166" fontId="10" fillId="0" borderId="0" xfId="0" applyNumberFormat="1" applyFont="1" applyBorder="1" applyAlignment="1">
      <alignment horizontal="center" vertical="center"/>
    </xf>
    <xf numFmtId="166" fontId="12" fillId="0" borderId="0" xfId="0" applyNumberFormat="1" applyFont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5" fontId="3" fillId="3" borderId="21" xfId="0" applyNumberFormat="1" applyFont="1" applyFill="1" applyBorder="1" applyAlignment="1">
      <alignment horizontal="center" vertical="center"/>
    </xf>
    <xf numFmtId="5" fontId="3" fillId="3" borderId="21" xfId="1" applyNumberFormat="1" applyFont="1" applyFill="1" applyBorder="1" applyAlignment="1">
      <alignment horizontal="center" vertical="center"/>
    </xf>
    <xf numFmtId="166" fontId="4" fillId="2" borderId="22" xfId="2" applyNumberFormat="1" applyBorder="1" applyAlignment="1">
      <alignment horizontal="center" vertical="center"/>
    </xf>
    <xf numFmtId="166" fontId="0" fillId="0" borderId="23" xfId="0" applyNumberFormat="1" applyBorder="1"/>
    <xf numFmtId="166" fontId="0" fillId="0" borderId="24" xfId="0" applyNumberFormat="1" applyBorder="1"/>
    <xf numFmtId="5" fontId="9" fillId="3" borderId="21" xfId="1" applyNumberFormat="1" applyFont="1" applyFill="1" applyBorder="1" applyAlignment="1">
      <alignment horizontal="center" vertical="center"/>
    </xf>
    <xf numFmtId="5" fontId="9" fillId="3" borderId="21" xfId="0" applyNumberFormat="1" applyFont="1" applyFill="1" applyBorder="1" applyAlignment="1">
      <alignment horizontal="center" vertical="center"/>
    </xf>
    <xf numFmtId="5" fontId="11" fillId="3" borderId="21" xfId="1" applyNumberFormat="1" applyFont="1" applyFill="1" applyBorder="1" applyAlignment="1">
      <alignment horizontal="center" vertical="center"/>
    </xf>
    <xf numFmtId="5" fontId="13" fillId="3" borderId="21" xfId="1" applyNumberFormat="1" applyFont="1" applyFill="1" applyBorder="1" applyAlignment="1">
      <alignment horizontal="center" vertical="center"/>
    </xf>
    <xf numFmtId="5" fontId="11" fillId="3" borderId="21" xfId="0" applyNumberFormat="1" applyFont="1" applyFill="1" applyBorder="1" applyAlignment="1">
      <alignment horizontal="center" vertical="center"/>
    </xf>
    <xf numFmtId="5" fontId="13" fillId="3" borderId="21" xfId="0" applyNumberFormat="1" applyFont="1" applyFill="1" applyBorder="1" applyAlignment="1">
      <alignment horizontal="center" vertical="center"/>
    </xf>
  </cellXfs>
  <cellStyles count="3">
    <cellStyle name="Акцент1" xfId="2" builtinId="29"/>
    <cellStyle name="Денежный" xfId="1" builtinId="4"/>
    <cellStyle name="Обычный" xfId="0" builtinId="0"/>
  </cellStyles>
  <dxfs count="16">
    <dxf>
      <numFmt numFmtId="27" formatCode="dd/mm/yyyy\ h:mm"/>
    </dxf>
    <dxf>
      <font>
        <sz val="9"/>
      </font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color theme="1"/>
      </font>
      <fill>
        <patternFill patternType="solid">
          <fgColor theme="9" tint="0.59999389629810485"/>
          <bgColor theme="9" tint="0.59999389629810485"/>
        </patternFill>
      </fill>
      <border>
        <left style="thin">
          <color theme="9" tint="0.79995117038483843"/>
        </left>
        <right style="thin">
          <color theme="9" tint="0.79995117038483843"/>
        </right>
        <vertical style="thin">
          <color theme="9" tint="0.79995117038483843"/>
        </vertical>
        <horizontal style="thin">
          <color theme="9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5"/>
      <tableStyleElement type="headerRow" dxfId="14"/>
    </tableStyle>
    <tableStyle name="User_PivotStyleDark7" table="0" count="12">
      <tableStyleElement type="wholeTable" dxfId="13"/>
      <tableStyleElement type="headerRow" dxfId="12"/>
      <tableStyleElement type="totalRow" dxfId="11"/>
      <tableStyleElement type="firstColumn" dxfId="10"/>
      <tableStyleElement type="secondRowStripe" dxfId="9"/>
      <tableStyleElement type="secondColumnStripe" dxfId="8"/>
      <tableStyleElement type="firstSubtotalRow" dxfId="7"/>
      <tableStyleElement type="firstColumnSubheading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0</xdr:row>
          <xdr:rowOff>28575</xdr:rowOff>
        </xdr:from>
        <xdr:to>
          <xdr:col>3</xdr:col>
          <xdr:colOff>800100</xdr:colOff>
          <xdr:row>1</xdr:row>
          <xdr:rowOff>133350</xdr:rowOff>
        </xdr:to>
        <xdr:sp macro="" textlink="">
          <xdr:nvSpPr>
            <xdr:cNvPr id="1025" name="cmdGenerateRe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466725</xdr:colOff>
          <xdr:row>2</xdr:row>
          <xdr:rowOff>114300</xdr:rowOff>
        </xdr:to>
        <xdr:sp macro="" textlink="">
          <xdr:nvSpPr>
            <xdr:cNvPr id="15361" name="cmdGenerateRepor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0</xdr:row>
          <xdr:rowOff>19050</xdr:rowOff>
        </xdr:from>
        <xdr:to>
          <xdr:col>3</xdr:col>
          <xdr:colOff>1219200</xdr:colOff>
          <xdr:row>1</xdr:row>
          <xdr:rowOff>123825</xdr:rowOff>
        </xdr:to>
        <xdr:sp macro="" textlink="">
          <xdr:nvSpPr>
            <xdr:cNvPr id="8193" name="cmdGenerateReport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Hodorik" refreshedDate="42586.589824421295" createdVersion="4" refreshedVersion="4" minRefreshableVersion="3" recordCount="38">
  <cacheSource type="external" connectionId="8"/>
  <cacheFields count="10">
    <cacheField name="ГодНеделя" numFmtId="0" sqlType="-9">
      <sharedItems count="7">
        <s v="2016, неделя 12"/>
        <s v="2016, неделя 13"/>
        <s v="2016, неделя 14"/>
        <s v="2016, неделя 15"/>
        <s v="2016, неделя 16"/>
        <s v="2016, неделя 17"/>
        <s v="2016, неделя 18"/>
      </sharedItems>
    </cacheField>
    <cacheField name="Дата" numFmtId="0" sqlType="11">
      <sharedItems containsSemiMixedTypes="0" containsNonDate="0" containsDate="1" containsString="0" minDate="2016-03-18T00:00:00" maxDate="2016-04-27T00:00:00" count="19">
        <d v="2016-03-18T00:00:00"/>
        <d v="2016-03-22T00:00:00"/>
        <d v="2016-03-23T00:00:00"/>
        <d v="2016-03-25T00:00:00"/>
        <d v="2016-03-31T00:00:00"/>
        <d v="2016-04-04T00:00:00"/>
        <d v="2016-04-05T00:00:00"/>
        <d v="2016-04-06T00:00:00"/>
        <d v="2016-04-07T00:00:00"/>
        <d v="2016-04-08T00:00:00"/>
        <d v="2016-04-10T00:00:00"/>
        <d v="2016-04-11T00:00:00"/>
        <d v="2016-04-12T00:00:00"/>
        <d v="2016-04-15T00:00:00"/>
        <d v="2016-04-18T00:00:00"/>
        <d v="2016-04-19T00:00:00"/>
        <d v="2016-04-20T00:00:00"/>
        <d v="2016-04-22T00:00:00"/>
        <d v="2016-04-26T00:00:00"/>
      </sharedItems>
    </cacheField>
    <cacheField name="Поступление/Расход" numFmtId="0" sqlType="-9">
      <sharedItems count="2">
        <s v="Поступления"/>
        <s v="Расходы"/>
      </sharedItems>
    </cacheField>
    <cacheField name="Рубрика/Категория" numFmtId="0" sqlType="-9">
      <sharedItems count="4">
        <s v="Трансфер/"/>
        <s v="Перенайм/Аренда"/>
        <s v="Эксплуатация"/>
        <s v="Клиент/1 кат"/>
      </sharedItems>
    </cacheField>
    <cacheField name="Наименование" numFmtId="0" sqlType="-9">
      <sharedItems count="8">
        <s v="ЮЛ 2"/>
        <s v="ЮЛ 3"/>
        <s v="ЮЛ 4"/>
        <s v="ЮЛ 1"/>
        <s v="ООО &quot;СервисКлауд&quot;"/>
        <s v="ОАО &quot;Тульский таксопарк&quot;"/>
        <s v="ЗАО &quot;УК&quot;Лидер&quot;"/>
        <s v="ПАО &quot;Ростелеком&quot;"/>
      </sharedItems>
    </cacheField>
    <cacheField name="Номер договора" numFmtId="0" sqlType="-9">
      <sharedItems count="6">
        <s v="б/н"/>
        <s v="15"/>
        <s v="38"/>
        <s v="34 от 09.04.07 согл. О переплате"/>
        <s v="38/АР-14 от 01.01.15"/>
        <s v="01/25/1212-15"/>
      </sharedItems>
    </cacheField>
    <cacheField name="ЦФО" numFmtId="0" sqlType="-9">
      <sharedItems count="2">
        <s v="Тула"/>
        <s v="Москва"/>
      </sharedItems>
    </cacheField>
    <cacheField name="Факт" numFmtId="0" sqlType="8">
      <sharedItems containsSemiMixedTypes="0" containsString="0" containsNumber="1" containsInteger="1" minValue="0" maxValue="7000000" count="23">
        <n v="2000000"/>
        <n v="7000000"/>
        <n v="1000000"/>
        <n v="100000"/>
        <n v="3000000"/>
        <n v="1900000"/>
        <n v="1100000"/>
        <n v="153000"/>
        <n v="4499"/>
        <n v="1150000"/>
        <n v="465000"/>
        <n v="0"/>
        <n v="500000"/>
        <n v="20000"/>
        <n v="200000"/>
        <n v="70000"/>
        <n v="3500000"/>
        <n v="40000"/>
        <n v="1000"/>
        <n v="5000000"/>
        <n v="1650000"/>
        <n v="5860000"/>
        <n v="1400000"/>
      </sharedItems>
    </cacheField>
    <cacheField name="План" numFmtId="0" sqlType="8">
      <sharedItems containsSemiMixedTypes="0" containsString="0" containsNumber="1" containsInteger="1" minValue="0" maxValue="1933831" count="5">
        <n v="0"/>
        <n v="350000"/>
        <n v="1079406"/>
        <n v="95000"/>
        <n v="1933831"/>
      </sharedItems>
    </cacheField>
    <cacheField name="Отклонение" numFmtId="0" sqlType="8">
      <sharedItems containsSemiMixedTypes="0" containsString="0" containsNumber="1" containsInteger="1" minValue="-1933831" maxValue="7000000" count="26">
        <n v="2000000"/>
        <n v="7000000"/>
        <n v="1000000"/>
        <n v="100000"/>
        <n v="3000000"/>
        <n v="1900000"/>
        <n v="1100000"/>
        <n v="153000"/>
        <n v="4499"/>
        <n v="1150000"/>
        <n v="465000"/>
        <n v="-350000"/>
        <n v="-1079406"/>
        <n v="500000"/>
        <n v="20000"/>
        <n v="200000"/>
        <n v="-95000"/>
        <n v="70000"/>
        <n v="3500000"/>
        <n v="40000"/>
        <n v="1000"/>
        <n v="5000000"/>
        <n v="-1933831"/>
        <n v="1650000"/>
        <n v="5860000"/>
        <n v="14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exHodorik" refreshedDate="42586.589825000003" createdVersion="4" refreshedVersion="4" minRefreshableVersion="3" recordCount="34">
  <cacheSource type="external" connectionId="10"/>
  <cacheFields count="8">
    <cacheField name="ГодНеделя" numFmtId="0" sqlType="-9">
      <sharedItems count="7">
        <s v="2016, неделя 12"/>
        <s v="2016, неделя 13"/>
        <s v="2016, неделя 14"/>
        <s v="2016, неделя 15"/>
        <s v="2016, неделя 16"/>
        <s v="2016, неделя 17"/>
        <s v="2016, неделя 18"/>
      </sharedItems>
    </cacheField>
    <cacheField name="Дата" numFmtId="0" sqlType="11">
      <sharedItems containsSemiMixedTypes="0" containsNonDate="0" containsDate="1" containsString="0" minDate="2016-03-18T00:00:00" maxDate="2016-04-27T00:00:00" count="18">
        <d v="2016-03-18T00:00:00"/>
        <d v="2016-03-22T00:00:00"/>
        <d v="2016-03-23T00:00:00"/>
        <d v="2016-03-25T00:00:00"/>
        <d v="2016-03-3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5T00:00:00"/>
        <d v="2016-04-18T00:00:00"/>
        <d v="2016-04-19T00:00:00"/>
        <d v="2016-04-20T00:00:00"/>
        <d v="2016-04-22T00:00:00"/>
        <d v="2016-04-26T00:00:00"/>
      </sharedItems>
    </cacheField>
    <cacheField name="Наименование" numFmtId="0" sqlType="-9">
      <sharedItems count="5">
        <s v="ЮЛ 2"/>
        <s v="ЮЛ 3"/>
        <s v="ЮЛ 4"/>
        <s v="ЮЛ 1"/>
        <s v="ООО &quot;СервисКлауд&quot;"/>
      </sharedItems>
    </cacheField>
    <cacheField name="Номер договора" numFmtId="0" sqlType="-9">
      <sharedItems count="2">
        <s v="б/н"/>
        <s v="15"/>
      </sharedItems>
    </cacheField>
    <cacheField name="ЦФО" numFmtId="0" sqlType="-9">
      <sharedItems count="1">
        <s v="Тула"/>
      </sharedItems>
    </cacheField>
    <cacheField name="Факт" numFmtId="0" sqlType="8">
      <sharedItems containsSemiMixedTypes="0" containsString="0" containsNumber="1" containsInteger="1" minValue="-7000000" maxValue="2000000" count="30">
        <n v="-2000000"/>
        <n v="-7000000"/>
        <n v="-1000000"/>
        <n v="2000000"/>
        <n v="-100000"/>
        <n v="100000"/>
        <n v="-3000000"/>
        <n v="-1900000"/>
        <n v="-1100000"/>
        <n v="1900000"/>
        <n v="-153000"/>
        <n v="153000"/>
        <n v="-4499"/>
        <n v="-1150000"/>
        <n v="-465000"/>
        <n v="465000"/>
        <n v="-500000"/>
        <n v="-20000"/>
        <n v="20000"/>
        <n v="-200000"/>
        <n v="-70000"/>
        <n v="-3500000"/>
        <n v="70000"/>
        <n v="-40000"/>
        <n v="40000"/>
        <n v="-1000"/>
        <n v="-5000000"/>
        <n v="-1650000"/>
        <n v="-5860000"/>
        <n v="-1400000"/>
      </sharedItems>
    </cacheField>
    <cacheField name="План" numFmtId="0" sqlType="8">
      <sharedItems containsSemiMixedTypes="0" containsString="0" containsNumber="1" containsInteger="1" minValue="0" maxValue="0" count="1">
        <n v="0"/>
      </sharedItems>
    </cacheField>
    <cacheField name="Отклонение" numFmtId="0" sqlType="8">
      <sharedItems containsSemiMixedTypes="0" containsString="0" containsNumber="1" containsInteger="1" minValue="-7000000" maxValue="2000000" count="30">
        <n v="-2000000"/>
        <n v="-7000000"/>
        <n v="-1000000"/>
        <n v="2000000"/>
        <n v="-100000"/>
        <n v="100000"/>
        <n v="-3000000"/>
        <n v="-1900000"/>
        <n v="-1100000"/>
        <n v="1900000"/>
        <n v="-153000"/>
        <n v="153000"/>
        <n v="-4499"/>
        <n v="-1150000"/>
        <n v="-465000"/>
        <n v="465000"/>
        <n v="-500000"/>
        <n v="-20000"/>
        <n v="20000"/>
        <n v="-200000"/>
        <n v="-70000"/>
        <n v="-3500000"/>
        <n v="70000"/>
        <n v="-40000"/>
        <n v="40000"/>
        <n v="-1000"/>
        <n v="-5000000"/>
        <n v="-1650000"/>
        <n v="-5860000"/>
        <n v="-14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lexHodorik" refreshedDate="42586.589827777774" createdVersion="4" refreshedVersion="4" minRefreshableVersion="3" recordCount="80">
  <cacheSource type="external" connectionId="9"/>
  <cacheFields count="10">
    <cacheField name="Период" numFmtId="0" sqlType="-9">
      <sharedItems count="3">
        <s v="2016-02"/>
        <s v="2016-03"/>
        <s v="2016-04"/>
      </sharedItems>
    </cacheField>
    <cacheField name="Дата" numFmtId="0" sqlType="11">
      <sharedItems containsSemiMixedTypes="0" containsNonDate="0" containsDate="1" containsString="0" minDate="2016-02-01T00:00:00" maxDate="2016-04-27T00:00:00"/>
    </cacheField>
    <cacheField name="Поступление/Расход" numFmtId="0" sqlType="-9">
      <sharedItems count="2">
        <s v="Поступления"/>
        <s v="Расходы"/>
      </sharedItems>
    </cacheField>
    <cacheField name="Рубрика/Категория" numFmtId="0" sqlType="-9">
      <sharedItems count="6">
        <s v="Трансфер/"/>
        <s v="Клиент/4 кат"/>
        <s v="МБП"/>
        <s v="Перенайм/Аренда"/>
        <s v="Эксплуатация"/>
        <s v="Клиент/1 кат"/>
      </sharedItems>
    </cacheField>
    <cacheField name="Наименование" numFmtId="0" sqlType="-9">
      <sharedItems count="10">
        <s v="ЮЛ 3"/>
        <s v="АО НПК &quot;Катрен&quot;"/>
        <s v="ООО &quot;Юлмарт РСК&quot;"/>
        <s v="ОАО &quot;Тульский таксопарк&quot;"/>
        <s v="ЗАО &quot;УК&quot;Лидер&quot;"/>
        <s v="ПАО &quot;Ростелеком&quot;"/>
        <s v="ЮЛ 2"/>
        <s v="ЮЛ 1"/>
        <s v="ЮЛ 4"/>
        <s v="ООО &quot;СервисКлауд&quot;"/>
      </sharedItems>
    </cacheField>
    <cacheField name="Номер договора" numFmtId="0" sqlType="-9">
      <sharedItems count="12">
        <s v="15"/>
        <s v="б/н"/>
        <s v="34"/>
        <s v="38/АР-14"/>
        <s v="61/05-08"/>
        <s v="79/05-10"/>
        <s v="34 от 09.04.07 согл. О переплате"/>
        <s v="01/25/1212-15"/>
        <s v="38/АР-14 от 01.01.15"/>
        <s v="2158501"/>
        <s v="07/25/98-15"/>
        <s v="38"/>
      </sharedItems>
    </cacheField>
    <cacheField name="ЦФО" numFmtId="0" sqlType="-9">
      <sharedItems count="5">
        <s v="Тула"/>
        <s v="Тверь"/>
        <s v="Новосибирск"/>
        <s v="Москва"/>
        <s v="(Не указано)"/>
      </sharedItems>
    </cacheField>
    <cacheField name="Факт" numFmtId="0" sqlType="8">
      <sharedItems containsSemiMixedTypes="0" containsString="0" containsNumber="1" containsInteger="1" minValue="0" maxValue="7000000"/>
    </cacheField>
    <cacheField name="План" numFmtId="0" sqlType="8">
      <sharedItems containsSemiMixedTypes="0" containsString="0" containsNumber="1" containsInteger="1" minValue="0" maxValue="1933831" count="7">
        <n v="0"/>
        <n v="8310"/>
        <n v="1079406"/>
        <n v="95000"/>
        <n v="11198"/>
        <n v="350000"/>
        <n v="1933831"/>
      </sharedItems>
    </cacheField>
    <cacheField name="Отклонение" numFmtId="0" sqlType="8">
      <sharedItems containsSemiMixedTypes="0" containsString="0" containsNumber="1" containsInteger="1" minValue="-1933831" maxValue="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lexHodorik" refreshedDate="42586.589828935183" createdVersion="4" refreshedVersion="4" minRefreshableVersion="3" recordCount="50">
  <cacheSource type="external" connectionId="11"/>
  <cacheFields count="8">
    <cacheField name="Период" numFmtId="0" sqlType="-9">
      <sharedItems count="3">
        <s v="2016-02"/>
        <s v="2016-03"/>
        <s v="2016-04"/>
      </sharedItems>
    </cacheField>
    <cacheField name="Дата" numFmtId="0" sqlType="11">
      <sharedItems containsSemiMixedTypes="0" containsNonDate="0" containsDate="1" containsString="0" minDate="2016-02-01T00:00:00" maxDate="2016-04-27T00:00:00" count="30">
        <d v="2016-02-01T00:00:00"/>
        <d v="2016-02-08T00:00:00"/>
        <d v="2016-02-11T00:00:00"/>
        <d v="2016-02-16T00:00:00"/>
        <d v="2016-02-18T00:00:00"/>
        <d v="2016-02-19T00:00:00"/>
        <d v="2016-02-20T00:00:00"/>
        <d v="2016-02-24T00:00:00"/>
        <d v="2016-02-26T00:00:00"/>
        <d v="2016-02-29T00:00:00"/>
        <d v="2016-03-01T00:00:00"/>
        <d v="2016-03-04T00:00:00"/>
        <d v="2016-03-18T00:00:00"/>
        <d v="2016-03-22T00:00:00"/>
        <d v="2016-03-23T00:00:00"/>
        <d v="2016-03-25T00:00:00"/>
        <d v="2016-03-31T00:00:00"/>
        <d v="2016-04-04T00:00:00"/>
        <d v="2016-04-05T00:00:00"/>
        <d v="2016-04-06T00:00:00"/>
        <d v="2016-04-07T00:00:00"/>
        <d v="2016-04-08T00:00:00"/>
        <d v="2016-04-11T00:00:00"/>
        <d v="2016-04-12T00:00:00"/>
        <d v="2016-04-15T00:00:00"/>
        <d v="2016-04-18T00:00:00"/>
        <d v="2016-04-19T00:00:00"/>
        <d v="2016-04-20T00:00:00"/>
        <d v="2016-04-22T00:00:00"/>
        <d v="2016-04-26T00:00:00"/>
      </sharedItems>
    </cacheField>
    <cacheField name="Наименование" numFmtId="0" sqlType="-9">
      <sharedItems count="5">
        <s v="ЮЛ 3"/>
        <s v="ЮЛ 2"/>
        <s v="ЮЛ 1"/>
        <s v="ЮЛ 4"/>
        <s v="ООО &quot;СервисКлауд&quot;"/>
      </sharedItems>
    </cacheField>
    <cacheField name="Номер договора" numFmtId="0" sqlType="-9">
      <sharedItems count="2">
        <s v="15"/>
        <s v="б/н"/>
      </sharedItems>
    </cacheField>
    <cacheField name="ЦФО" numFmtId="0" sqlType="-9">
      <sharedItems count="1">
        <s v="Тула"/>
      </sharedItems>
    </cacheField>
    <cacheField name="Факт" numFmtId="0" sqlType="8">
      <sharedItems containsSemiMixedTypes="0" containsString="0" containsNumber="1" containsInteger="1" minValue="-7000000" maxValue="3000000"/>
    </cacheField>
    <cacheField name="План" numFmtId="0" sqlType="8">
      <sharedItems containsSemiMixedTypes="0" containsString="0" containsNumber="1" containsInteger="1" minValue="0" maxValue="0" count="1">
        <n v="0"/>
      </sharedItems>
    </cacheField>
    <cacheField name="Отклонение" numFmtId="0" sqlType="8">
      <sharedItems containsSemiMixedTypes="0" containsString="0" containsNumber="1" containsInteger="1" minValue="-7000000" maxValue="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lexHodorik" refreshedDate="42586.589830092591" createdVersion="4" refreshedVersion="4" minRefreshableVersion="3" recordCount="10">
  <cacheSource type="external" connectionId="3"/>
  <cacheFields count="4">
    <cacheField name="Поступление/Расход" numFmtId="0" sqlType="-9">
      <sharedItems count="2">
        <s v="Поступления"/>
        <s v="Расходы"/>
      </sharedItems>
    </cacheField>
    <cacheField name="Рубрика/Категория" numFmtId="0" sqlType="-9">
      <sharedItems count="6">
        <s v="Клиент/1 кат"/>
        <s v="Клиент/4 кат"/>
        <s v="Трансфер/"/>
        <s v="МБП"/>
        <s v="Перенайм/Аренда"/>
        <s v="Эксплуатация"/>
      </sharedItems>
    </cacheField>
    <cacheField name="Наименование" numFmtId="0" sqlType="-9">
      <sharedItems count="9">
        <s v="ПАО &quot;Ростелеком&quot;"/>
        <s v="АО НПК &quot;Катрен&quot;"/>
        <s v="ЮЛ 2"/>
        <s v="ЮЛ 3"/>
        <s v="ЮЛ 4"/>
        <s v="ООО &quot;Юлмарт РСК&quot;"/>
        <s v="ОАО &quot;Тульский таксопарк&quot;"/>
        <s v="ЮЛ 1"/>
        <s v="ЗАО &quot;УК&quot;Лидер&quot;"/>
      </sharedItems>
    </cacheField>
    <cacheField name="Sum-Отклонение" numFmtId="0" sqlType="8">
      <sharedItems containsSemiMixedTypes="0" containsString="0" containsNumber="1" minValue="-11198" maxValue="7400000" count="9">
        <n v="-11198"/>
        <n v="50700"/>
        <n v="7400000"/>
        <n v="6690000"/>
        <n v="360000"/>
        <n v="1022712"/>
        <n v="29144"/>
        <n v="126686.01000000001"/>
        <n v="334903.0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1"/>
    <x v="0"/>
    <x v="1"/>
  </r>
  <r>
    <x v="0"/>
    <x v="0"/>
    <x v="0"/>
    <x v="0"/>
    <x v="2"/>
    <x v="0"/>
    <x v="0"/>
    <x v="2"/>
    <x v="0"/>
    <x v="2"/>
  </r>
  <r>
    <x v="0"/>
    <x v="0"/>
    <x v="1"/>
    <x v="0"/>
    <x v="3"/>
    <x v="0"/>
    <x v="0"/>
    <x v="0"/>
    <x v="0"/>
    <x v="0"/>
  </r>
  <r>
    <x v="1"/>
    <x v="1"/>
    <x v="0"/>
    <x v="0"/>
    <x v="0"/>
    <x v="0"/>
    <x v="0"/>
    <x v="3"/>
    <x v="0"/>
    <x v="3"/>
  </r>
  <r>
    <x v="1"/>
    <x v="1"/>
    <x v="1"/>
    <x v="0"/>
    <x v="3"/>
    <x v="0"/>
    <x v="0"/>
    <x v="3"/>
    <x v="0"/>
    <x v="3"/>
  </r>
  <r>
    <x v="1"/>
    <x v="2"/>
    <x v="0"/>
    <x v="0"/>
    <x v="1"/>
    <x v="1"/>
    <x v="0"/>
    <x v="4"/>
    <x v="0"/>
    <x v="4"/>
  </r>
  <r>
    <x v="1"/>
    <x v="3"/>
    <x v="0"/>
    <x v="0"/>
    <x v="0"/>
    <x v="0"/>
    <x v="0"/>
    <x v="5"/>
    <x v="0"/>
    <x v="5"/>
  </r>
  <r>
    <x v="1"/>
    <x v="3"/>
    <x v="0"/>
    <x v="0"/>
    <x v="1"/>
    <x v="1"/>
    <x v="0"/>
    <x v="6"/>
    <x v="0"/>
    <x v="6"/>
  </r>
  <r>
    <x v="1"/>
    <x v="3"/>
    <x v="1"/>
    <x v="0"/>
    <x v="3"/>
    <x v="0"/>
    <x v="0"/>
    <x v="5"/>
    <x v="0"/>
    <x v="5"/>
  </r>
  <r>
    <x v="2"/>
    <x v="4"/>
    <x v="0"/>
    <x v="0"/>
    <x v="0"/>
    <x v="0"/>
    <x v="0"/>
    <x v="7"/>
    <x v="0"/>
    <x v="7"/>
  </r>
  <r>
    <x v="2"/>
    <x v="4"/>
    <x v="1"/>
    <x v="0"/>
    <x v="3"/>
    <x v="0"/>
    <x v="0"/>
    <x v="7"/>
    <x v="0"/>
    <x v="7"/>
  </r>
  <r>
    <x v="3"/>
    <x v="5"/>
    <x v="0"/>
    <x v="0"/>
    <x v="4"/>
    <x v="0"/>
    <x v="0"/>
    <x v="8"/>
    <x v="0"/>
    <x v="8"/>
  </r>
  <r>
    <x v="3"/>
    <x v="5"/>
    <x v="0"/>
    <x v="0"/>
    <x v="1"/>
    <x v="1"/>
    <x v="0"/>
    <x v="9"/>
    <x v="0"/>
    <x v="9"/>
  </r>
  <r>
    <x v="3"/>
    <x v="6"/>
    <x v="0"/>
    <x v="0"/>
    <x v="0"/>
    <x v="0"/>
    <x v="0"/>
    <x v="10"/>
    <x v="0"/>
    <x v="10"/>
  </r>
  <r>
    <x v="3"/>
    <x v="6"/>
    <x v="1"/>
    <x v="1"/>
    <x v="5"/>
    <x v="2"/>
    <x v="0"/>
    <x v="11"/>
    <x v="1"/>
    <x v="11"/>
  </r>
  <r>
    <x v="3"/>
    <x v="6"/>
    <x v="1"/>
    <x v="0"/>
    <x v="3"/>
    <x v="0"/>
    <x v="0"/>
    <x v="10"/>
    <x v="0"/>
    <x v="10"/>
  </r>
  <r>
    <x v="3"/>
    <x v="6"/>
    <x v="1"/>
    <x v="2"/>
    <x v="5"/>
    <x v="3"/>
    <x v="0"/>
    <x v="11"/>
    <x v="2"/>
    <x v="12"/>
  </r>
  <r>
    <x v="3"/>
    <x v="7"/>
    <x v="0"/>
    <x v="0"/>
    <x v="2"/>
    <x v="0"/>
    <x v="0"/>
    <x v="12"/>
    <x v="0"/>
    <x v="13"/>
  </r>
  <r>
    <x v="3"/>
    <x v="8"/>
    <x v="0"/>
    <x v="0"/>
    <x v="0"/>
    <x v="0"/>
    <x v="0"/>
    <x v="13"/>
    <x v="0"/>
    <x v="14"/>
  </r>
  <r>
    <x v="3"/>
    <x v="8"/>
    <x v="0"/>
    <x v="0"/>
    <x v="1"/>
    <x v="1"/>
    <x v="0"/>
    <x v="6"/>
    <x v="0"/>
    <x v="6"/>
  </r>
  <r>
    <x v="3"/>
    <x v="8"/>
    <x v="1"/>
    <x v="0"/>
    <x v="3"/>
    <x v="0"/>
    <x v="0"/>
    <x v="13"/>
    <x v="0"/>
    <x v="14"/>
  </r>
  <r>
    <x v="3"/>
    <x v="9"/>
    <x v="0"/>
    <x v="0"/>
    <x v="2"/>
    <x v="0"/>
    <x v="0"/>
    <x v="14"/>
    <x v="0"/>
    <x v="15"/>
  </r>
  <r>
    <x v="4"/>
    <x v="10"/>
    <x v="1"/>
    <x v="2"/>
    <x v="6"/>
    <x v="4"/>
    <x v="1"/>
    <x v="11"/>
    <x v="3"/>
    <x v="16"/>
  </r>
  <r>
    <x v="4"/>
    <x v="11"/>
    <x v="0"/>
    <x v="0"/>
    <x v="0"/>
    <x v="0"/>
    <x v="0"/>
    <x v="15"/>
    <x v="0"/>
    <x v="17"/>
  </r>
  <r>
    <x v="4"/>
    <x v="11"/>
    <x v="0"/>
    <x v="0"/>
    <x v="1"/>
    <x v="1"/>
    <x v="0"/>
    <x v="16"/>
    <x v="0"/>
    <x v="18"/>
  </r>
  <r>
    <x v="4"/>
    <x v="11"/>
    <x v="1"/>
    <x v="0"/>
    <x v="3"/>
    <x v="0"/>
    <x v="0"/>
    <x v="15"/>
    <x v="0"/>
    <x v="17"/>
  </r>
  <r>
    <x v="4"/>
    <x v="12"/>
    <x v="0"/>
    <x v="0"/>
    <x v="0"/>
    <x v="0"/>
    <x v="0"/>
    <x v="17"/>
    <x v="0"/>
    <x v="19"/>
  </r>
  <r>
    <x v="4"/>
    <x v="12"/>
    <x v="1"/>
    <x v="0"/>
    <x v="3"/>
    <x v="0"/>
    <x v="0"/>
    <x v="17"/>
    <x v="0"/>
    <x v="19"/>
  </r>
  <r>
    <x v="4"/>
    <x v="13"/>
    <x v="0"/>
    <x v="0"/>
    <x v="2"/>
    <x v="0"/>
    <x v="0"/>
    <x v="12"/>
    <x v="0"/>
    <x v="13"/>
  </r>
  <r>
    <x v="5"/>
    <x v="14"/>
    <x v="0"/>
    <x v="0"/>
    <x v="0"/>
    <x v="0"/>
    <x v="0"/>
    <x v="18"/>
    <x v="0"/>
    <x v="20"/>
  </r>
  <r>
    <x v="5"/>
    <x v="14"/>
    <x v="0"/>
    <x v="0"/>
    <x v="1"/>
    <x v="1"/>
    <x v="0"/>
    <x v="19"/>
    <x v="0"/>
    <x v="21"/>
  </r>
  <r>
    <x v="5"/>
    <x v="15"/>
    <x v="0"/>
    <x v="3"/>
    <x v="7"/>
    <x v="5"/>
    <x v="1"/>
    <x v="11"/>
    <x v="4"/>
    <x v="22"/>
  </r>
  <r>
    <x v="5"/>
    <x v="15"/>
    <x v="0"/>
    <x v="0"/>
    <x v="0"/>
    <x v="0"/>
    <x v="0"/>
    <x v="20"/>
    <x v="0"/>
    <x v="23"/>
  </r>
  <r>
    <x v="5"/>
    <x v="15"/>
    <x v="0"/>
    <x v="0"/>
    <x v="1"/>
    <x v="1"/>
    <x v="0"/>
    <x v="21"/>
    <x v="0"/>
    <x v="24"/>
  </r>
  <r>
    <x v="5"/>
    <x v="16"/>
    <x v="0"/>
    <x v="0"/>
    <x v="1"/>
    <x v="1"/>
    <x v="0"/>
    <x v="22"/>
    <x v="0"/>
    <x v="25"/>
  </r>
  <r>
    <x v="5"/>
    <x v="17"/>
    <x v="0"/>
    <x v="0"/>
    <x v="1"/>
    <x v="1"/>
    <x v="0"/>
    <x v="0"/>
    <x v="0"/>
    <x v="0"/>
  </r>
  <r>
    <x v="6"/>
    <x v="18"/>
    <x v="0"/>
    <x v="0"/>
    <x v="1"/>
    <x v="1"/>
    <x v="0"/>
    <x v="16"/>
    <x v="0"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">
  <r>
    <x v="0"/>
    <x v="0"/>
    <x v="0"/>
    <x v="0"/>
    <x v="0"/>
    <x v="0"/>
    <x v="0"/>
    <x v="0"/>
  </r>
  <r>
    <x v="0"/>
    <x v="0"/>
    <x v="1"/>
    <x v="1"/>
    <x v="0"/>
    <x v="1"/>
    <x v="0"/>
    <x v="1"/>
  </r>
  <r>
    <x v="0"/>
    <x v="0"/>
    <x v="2"/>
    <x v="0"/>
    <x v="0"/>
    <x v="2"/>
    <x v="0"/>
    <x v="2"/>
  </r>
  <r>
    <x v="0"/>
    <x v="0"/>
    <x v="3"/>
    <x v="0"/>
    <x v="0"/>
    <x v="3"/>
    <x v="0"/>
    <x v="3"/>
  </r>
  <r>
    <x v="1"/>
    <x v="1"/>
    <x v="0"/>
    <x v="0"/>
    <x v="0"/>
    <x v="4"/>
    <x v="0"/>
    <x v="4"/>
  </r>
  <r>
    <x v="1"/>
    <x v="1"/>
    <x v="3"/>
    <x v="0"/>
    <x v="0"/>
    <x v="5"/>
    <x v="0"/>
    <x v="5"/>
  </r>
  <r>
    <x v="1"/>
    <x v="2"/>
    <x v="1"/>
    <x v="1"/>
    <x v="0"/>
    <x v="6"/>
    <x v="0"/>
    <x v="6"/>
  </r>
  <r>
    <x v="1"/>
    <x v="3"/>
    <x v="0"/>
    <x v="0"/>
    <x v="0"/>
    <x v="7"/>
    <x v="0"/>
    <x v="7"/>
  </r>
  <r>
    <x v="1"/>
    <x v="3"/>
    <x v="1"/>
    <x v="1"/>
    <x v="0"/>
    <x v="8"/>
    <x v="0"/>
    <x v="8"/>
  </r>
  <r>
    <x v="1"/>
    <x v="3"/>
    <x v="3"/>
    <x v="0"/>
    <x v="0"/>
    <x v="9"/>
    <x v="0"/>
    <x v="9"/>
  </r>
  <r>
    <x v="2"/>
    <x v="4"/>
    <x v="0"/>
    <x v="0"/>
    <x v="0"/>
    <x v="10"/>
    <x v="0"/>
    <x v="10"/>
  </r>
  <r>
    <x v="2"/>
    <x v="4"/>
    <x v="3"/>
    <x v="0"/>
    <x v="0"/>
    <x v="11"/>
    <x v="0"/>
    <x v="11"/>
  </r>
  <r>
    <x v="3"/>
    <x v="5"/>
    <x v="4"/>
    <x v="0"/>
    <x v="0"/>
    <x v="12"/>
    <x v="0"/>
    <x v="12"/>
  </r>
  <r>
    <x v="3"/>
    <x v="5"/>
    <x v="1"/>
    <x v="1"/>
    <x v="0"/>
    <x v="13"/>
    <x v="0"/>
    <x v="13"/>
  </r>
  <r>
    <x v="3"/>
    <x v="6"/>
    <x v="0"/>
    <x v="0"/>
    <x v="0"/>
    <x v="14"/>
    <x v="0"/>
    <x v="14"/>
  </r>
  <r>
    <x v="3"/>
    <x v="6"/>
    <x v="3"/>
    <x v="0"/>
    <x v="0"/>
    <x v="15"/>
    <x v="0"/>
    <x v="15"/>
  </r>
  <r>
    <x v="3"/>
    <x v="7"/>
    <x v="2"/>
    <x v="0"/>
    <x v="0"/>
    <x v="16"/>
    <x v="0"/>
    <x v="16"/>
  </r>
  <r>
    <x v="3"/>
    <x v="8"/>
    <x v="0"/>
    <x v="0"/>
    <x v="0"/>
    <x v="17"/>
    <x v="0"/>
    <x v="17"/>
  </r>
  <r>
    <x v="3"/>
    <x v="8"/>
    <x v="1"/>
    <x v="1"/>
    <x v="0"/>
    <x v="8"/>
    <x v="0"/>
    <x v="8"/>
  </r>
  <r>
    <x v="3"/>
    <x v="8"/>
    <x v="3"/>
    <x v="0"/>
    <x v="0"/>
    <x v="18"/>
    <x v="0"/>
    <x v="18"/>
  </r>
  <r>
    <x v="3"/>
    <x v="9"/>
    <x v="2"/>
    <x v="0"/>
    <x v="0"/>
    <x v="19"/>
    <x v="0"/>
    <x v="19"/>
  </r>
  <r>
    <x v="4"/>
    <x v="10"/>
    <x v="0"/>
    <x v="0"/>
    <x v="0"/>
    <x v="20"/>
    <x v="0"/>
    <x v="20"/>
  </r>
  <r>
    <x v="4"/>
    <x v="10"/>
    <x v="1"/>
    <x v="1"/>
    <x v="0"/>
    <x v="21"/>
    <x v="0"/>
    <x v="21"/>
  </r>
  <r>
    <x v="4"/>
    <x v="10"/>
    <x v="3"/>
    <x v="0"/>
    <x v="0"/>
    <x v="22"/>
    <x v="0"/>
    <x v="22"/>
  </r>
  <r>
    <x v="4"/>
    <x v="11"/>
    <x v="0"/>
    <x v="0"/>
    <x v="0"/>
    <x v="23"/>
    <x v="0"/>
    <x v="23"/>
  </r>
  <r>
    <x v="4"/>
    <x v="11"/>
    <x v="3"/>
    <x v="0"/>
    <x v="0"/>
    <x v="24"/>
    <x v="0"/>
    <x v="24"/>
  </r>
  <r>
    <x v="4"/>
    <x v="12"/>
    <x v="2"/>
    <x v="0"/>
    <x v="0"/>
    <x v="16"/>
    <x v="0"/>
    <x v="16"/>
  </r>
  <r>
    <x v="5"/>
    <x v="13"/>
    <x v="0"/>
    <x v="0"/>
    <x v="0"/>
    <x v="25"/>
    <x v="0"/>
    <x v="25"/>
  </r>
  <r>
    <x v="5"/>
    <x v="13"/>
    <x v="1"/>
    <x v="1"/>
    <x v="0"/>
    <x v="26"/>
    <x v="0"/>
    <x v="26"/>
  </r>
  <r>
    <x v="5"/>
    <x v="14"/>
    <x v="0"/>
    <x v="0"/>
    <x v="0"/>
    <x v="27"/>
    <x v="0"/>
    <x v="27"/>
  </r>
  <r>
    <x v="5"/>
    <x v="14"/>
    <x v="1"/>
    <x v="1"/>
    <x v="0"/>
    <x v="28"/>
    <x v="0"/>
    <x v="28"/>
  </r>
  <r>
    <x v="5"/>
    <x v="15"/>
    <x v="1"/>
    <x v="1"/>
    <x v="0"/>
    <x v="29"/>
    <x v="0"/>
    <x v="29"/>
  </r>
  <r>
    <x v="5"/>
    <x v="16"/>
    <x v="1"/>
    <x v="1"/>
    <x v="0"/>
    <x v="0"/>
    <x v="0"/>
    <x v="0"/>
  </r>
  <r>
    <x v="6"/>
    <x v="17"/>
    <x v="1"/>
    <x v="1"/>
    <x v="0"/>
    <x v="21"/>
    <x v="0"/>
    <x v="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d v="2016-02-01T00:00:00"/>
    <x v="0"/>
    <x v="0"/>
    <x v="0"/>
    <x v="0"/>
    <x v="0"/>
    <n v="550000"/>
    <x v="0"/>
    <n v="550000"/>
  </r>
  <r>
    <x v="0"/>
    <d v="2016-02-05T00:00:00"/>
    <x v="0"/>
    <x v="1"/>
    <x v="1"/>
    <x v="1"/>
    <x v="1"/>
    <n v="45331"/>
    <x v="0"/>
    <n v="45331"/>
  </r>
  <r>
    <x v="0"/>
    <d v="2016-02-05T00:00:00"/>
    <x v="1"/>
    <x v="2"/>
    <x v="2"/>
    <x v="1"/>
    <x v="2"/>
    <n v="83470"/>
    <x v="0"/>
    <n v="83470"/>
  </r>
  <r>
    <x v="0"/>
    <d v="2016-02-05T00:00:00"/>
    <x v="1"/>
    <x v="3"/>
    <x v="3"/>
    <x v="2"/>
    <x v="0"/>
    <n v="0"/>
    <x v="1"/>
    <n v="-8310"/>
  </r>
  <r>
    <x v="0"/>
    <d v="2016-02-05T00:00:00"/>
    <x v="1"/>
    <x v="4"/>
    <x v="4"/>
    <x v="3"/>
    <x v="3"/>
    <n v="15374"/>
    <x v="0"/>
    <n v="15374"/>
  </r>
  <r>
    <x v="0"/>
    <d v="2016-02-05T00:00:00"/>
    <x v="1"/>
    <x v="4"/>
    <x v="4"/>
    <x v="4"/>
    <x v="3"/>
    <n v="350000"/>
    <x v="0"/>
    <n v="350000"/>
  </r>
  <r>
    <x v="0"/>
    <d v="2016-02-05T00:00:00"/>
    <x v="1"/>
    <x v="4"/>
    <x v="4"/>
    <x v="5"/>
    <x v="3"/>
    <n v="5180"/>
    <x v="0"/>
    <n v="5180"/>
  </r>
  <r>
    <x v="0"/>
    <d v="2016-02-05T00:00:00"/>
    <x v="1"/>
    <x v="4"/>
    <x v="3"/>
    <x v="6"/>
    <x v="4"/>
    <n v="0"/>
    <x v="2"/>
    <n v="-1079406"/>
  </r>
  <r>
    <x v="0"/>
    <d v="2016-02-08T00:00:00"/>
    <x v="0"/>
    <x v="5"/>
    <x v="5"/>
    <x v="1"/>
    <x v="3"/>
    <n v="203279"/>
    <x v="0"/>
    <n v="203279"/>
  </r>
  <r>
    <x v="0"/>
    <d v="2016-02-08T00:00:00"/>
    <x v="0"/>
    <x v="0"/>
    <x v="0"/>
    <x v="0"/>
    <x v="0"/>
    <n v="550000"/>
    <x v="0"/>
    <n v="550000"/>
  </r>
  <r>
    <x v="0"/>
    <d v="2016-02-09T00:00:00"/>
    <x v="0"/>
    <x v="5"/>
    <x v="5"/>
    <x v="7"/>
    <x v="3"/>
    <n v="84960"/>
    <x v="0"/>
    <n v="84960"/>
  </r>
  <r>
    <x v="0"/>
    <d v="2016-02-10T00:00:00"/>
    <x v="1"/>
    <x v="4"/>
    <x v="4"/>
    <x v="8"/>
    <x v="3"/>
    <n v="0"/>
    <x v="3"/>
    <n v="-95000"/>
  </r>
  <r>
    <x v="0"/>
    <d v="2016-02-11T00:00:00"/>
    <x v="0"/>
    <x v="0"/>
    <x v="0"/>
    <x v="0"/>
    <x v="0"/>
    <n v="1100000"/>
    <x v="0"/>
    <n v="1100000"/>
  </r>
  <r>
    <x v="0"/>
    <d v="2016-02-11T00:00:00"/>
    <x v="1"/>
    <x v="2"/>
    <x v="2"/>
    <x v="1"/>
    <x v="2"/>
    <n v="28120"/>
    <x v="0"/>
    <n v="28120"/>
  </r>
  <r>
    <x v="0"/>
    <d v="2016-02-15T00:00:00"/>
    <x v="0"/>
    <x v="5"/>
    <x v="5"/>
    <x v="7"/>
    <x v="3"/>
    <n v="1158854"/>
    <x v="0"/>
    <n v="1158854"/>
  </r>
  <r>
    <x v="0"/>
    <d v="2016-02-16T00:00:00"/>
    <x v="0"/>
    <x v="0"/>
    <x v="0"/>
    <x v="0"/>
    <x v="0"/>
    <n v="1222000"/>
    <x v="0"/>
    <n v="1222000"/>
  </r>
  <r>
    <x v="0"/>
    <d v="2016-02-17T00:00:00"/>
    <x v="0"/>
    <x v="5"/>
    <x v="5"/>
    <x v="9"/>
    <x v="3"/>
    <n v="30379"/>
    <x v="0"/>
    <n v="30379"/>
  </r>
  <r>
    <x v="0"/>
    <d v="2016-02-18T00:00:00"/>
    <x v="0"/>
    <x v="0"/>
    <x v="6"/>
    <x v="1"/>
    <x v="0"/>
    <n v="2700000"/>
    <x v="0"/>
    <n v="2700000"/>
  </r>
  <r>
    <x v="0"/>
    <d v="2016-02-18T00:00:00"/>
    <x v="0"/>
    <x v="0"/>
    <x v="0"/>
    <x v="0"/>
    <x v="0"/>
    <n v="5556000"/>
    <x v="0"/>
    <n v="5556000"/>
  </r>
  <r>
    <x v="0"/>
    <d v="2016-02-18T00:00:00"/>
    <x v="1"/>
    <x v="0"/>
    <x v="7"/>
    <x v="1"/>
    <x v="0"/>
    <n v="2700000"/>
    <x v="0"/>
    <n v="2700000"/>
  </r>
  <r>
    <x v="0"/>
    <d v="2016-02-19T00:00:00"/>
    <x v="0"/>
    <x v="0"/>
    <x v="6"/>
    <x v="1"/>
    <x v="0"/>
    <n v="3000000"/>
    <x v="0"/>
    <n v="3000000"/>
  </r>
  <r>
    <x v="0"/>
    <d v="2016-02-19T00:00:00"/>
    <x v="1"/>
    <x v="2"/>
    <x v="2"/>
    <x v="1"/>
    <x v="4"/>
    <n v="520"/>
    <x v="0"/>
    <n v="520"/>
  </r>
  <r>
    <x v="0"/>
    <d v="2016-02-19T00:00:00"/>
    <x v="1"/>
    <x v="2"/>
    <x v="2"/>
    <x v="1"/>
    <x v="2"/>
    <n v="3460"/>
    <x v="0"/>
    <n v="3460"/>
  </r>
  <r>
    <x v="0"/>
    <d v="2016-02-19T00:00:00"/>
    <x v="1"/>
    <x v="0"/>
    <x v="7"/>
    <x v="1"/>
    <x v="0"/>
    <n v="3000000"/>
    <x v="0"/>
    <n v="3000000"/>
  </r>
  <r>
    <x v="0"/>
    <d v="2016-02-19T00:00:00"/>
    <x v="1"/>
    <x v="4"/>
    <x v="3"/>
    <x v="2"/>
    <x v="0"/>
    <n v="1079406"/>
    <x v="0"/>
    <n v="1079406"/>
  </r>
  <r>
    <x v="0"/>
    <d v="2016-02-20T00:00:00"/>
    <x v="0"/>
    <x v="5"/>
    <x v="5"/>
    <x v="9"/>
    <x v="3"/>
    <n v="240000"/>
    <x v="4"/>
    <n v="228802"/>
  </r>
  <r>
    <x v="0"/>
    <d v="2016-02-20T00:00:00"/>
    <x v="0"/>
    <x v="0"/>
    <x v="8"/>
    <x v="1"/>
    <x v="0"/>
    <n v="150000"/>
    <x v="0"/>
    <n v="150000"/>
  </r>
  <r>
    <x v="0"/>
    <d v="2016-02-24T00:00:00"/>
    <x v="0"/>
    <x v="0"/>
    <x v="8"/>
    <x v="1"/>
    <x v="0"/>
    <n v="1075000"/>
    <x v="0"/>
    <n v="1075000"/>
  </r>
  <r>
    <x v="0"/>
    <d v="2016-02-25T00:00:00"/>
    <x v="1"/>
    <x v="4"/>
    <x v="3"/>
    <x v="2"/>
    <x v="0"/>
    <n v="279664"/>
    <x v="0"/>
    <n v="279664"/>
  </r>
  <r>
    <x v="0"/>
    <d v="2016-02-26T00:00:00"/>
    <x v="0"/>
    <x v="0"/>
    <x v="6"/>
    <x v="1"/>
    <x v="0"/>
    <n v="1800000"/>
    <x v="0"/>
    <n v="1800000"/>
  </r>
  <r>
    <x v="0"/>
    <d v="2016-02-26T00:00:00"/>
    <x v="1"/>
    <x v="0"/>
    <x v="7"/>
    <x v="1"/>
    <x v="0"/>
    <n v="1800000"/>
    <x v="0"/>
    <n v="1800000"/>
  </r>
  <r>
    <x v="0"/>
    <d v="2016-02-29T00:00:00"/>
    <x v="0"/>
    <x v="1"/>
    <x v="1"/>
    <x v="1"/>
    <x v="1"/>
    <n v="13150"/>
    <x v="0"/>
    <n v="13150"/>
  </r>
  <r>
    <x v="0"/>
    <d v="2016-02-29T00:00:00"/>
    <x v="0"/>
    <x v="0"/>
    <x v="0"/>
    <x v="0"/>
    <x v="0"/>
    <n v="2000000"/>
    <x v="0"/>
    <n v="2000000"/>
  </r>
  <r>
    <x v="0"/>
    <d v="2016-02-29T00:00:00"/>
    <x v="1"/>
    <x v="2"/>
    <x v="2"/>
    <x v="1"/>
    <x v="2"/>
    <n v="70740"/>
    <x v="0"/>
    <n v="70740"/>
  </r>
  <r>
    <x v="1"/>
    <d v="2016-03-01T00:00:00"/>
    <x v="0"/>
    <x v="5"/>
    <x v="5"/>
    <x v="10"/>
    <x v="3"/>
    <n v="1180"/>
    <x v="0"/>
    <n v="1180"/>
  </r>
  <r>
    <x v="1"/>
    <d v="2016-03-01T00:00:00"/>
    <x v="0"/>
    <x v="0"/>
    <x v="0"/>
    <x v="0"/>
    <x v="0"/>
    <n v="2000000"/>
    <x v="0"/>
    <n v="2000000"/>
  </r>
  <r>
    <x v="1"/>
    <d v="2016-03-04T00:00:00"/>
    <x v="0"/>
    <x v="0"/>
    <x v="0"/>
    <x v="0"/>
    <x v="0"/>
    <n v="1650000"/>
    <x v="0"/>
    <n v="1650000"/>
  </r>
  <r>
    <x v="1"/>
    <d v="2016-03-04T00:00:00"/>
    <x v="1"/>
    <x v="2"/>
    <x v="2"/>
    <x v="1"/>
    <x v="2"/>
    <n v="40010"/>
    <x v="0"/>
    <n v="40010"/>
  </r>
  <r>
    <x v="1"/>
    <d v="2016-03-07T00:00:00"/>
    <x v="1"/>
    <x v="3"/>
    <x v="3"/>
    <x v="11"/>
    <x v="0"/>
    <n v="0"/>
    <x v="2"/>
    <n v="-1079406"/>
  </r>
  <r>
    <x v="1"/>
    <d v="2016-03-07T00:00:00"/>
    <x v="1"/>
    <x v="4"/>
    <x v="3"/>
    <x v="6"/>
    <x v="0"/>
    <n v="0"/>
    <x v="5"/>
    <n v="-350000"/>
  </r>
  <r>
    <x v="1"/>
    <d v="2016-03-11T00:00:00"/>
    <x v="0"/>
    <x v="1"/>
    <x v="1"/>
    <x v="1"/>
    <x v="1"/>
    <n v="45587"/>
    <x v="0"/>
    <n v="45587"/>
  </r>
  <r>
    <x v="1"/>
    <d v="2016-03-12T00:00:00"/>
    <x v="1"/>
    <x v="4"/>
    <x v="4"/>
    <x v="8"/>
    <x v="3"/>
    <n v="0"/>
    <x v="3"/>
    <n v="-95000"/>
  </r>
  <r>
    <x v="1"/>
    <d v="2016-03-18T00:00:00"/>
    <x v="0"/>
    <x v="0"/>
    <x v="6"/>
    <x v="1"/>
    <x v="0"/>
    <n v="2000000"/>
    <x v="0"/>
    <n v="2000000"/>
  </r>
  <r>
    <x v="1"/>
    <d v="2016-03-18T00:00:00"/>
    <x v="0"/>
    <x v="0"/>
    <x v="0"/>
    <x v="0"/>
    <x v="0"/>
    <n v="7000000"/>
    <x v="0"/>
    <n v="7000000"/>
  </r>
  <r>
    <x v="1"/>
    <d v="2016-03-18T00:00:00"/>
    <x v="0"/>
    <x v="0"/>
    <x v="8"/>
    <x v="1"/>
    <x v="0"/>
    <n v="1000000"/>
    <x v="0"/>
    <n v="1000000"/>
  </r>
  <r>
    <x v="1"/>
    <d v="2016-03-18T00:00:00"/>
    <x v="1"/>
    <x v="0"/>
    <x v="7"/>
    <x v="1"/>
    <x v="0"/>
    <n v="2000000"/>
    <x v="0"/>
    <n v="2000000"/>
  </r>
  <r>
    <x v="1"/>
    <d v="2016-03-22T00:00:00"/>
    <x v="0"/>
    <x v="0"/>
    <x v="6"/>
    <x v="1"/>
    <x v="0"/>
    <n v="100000"/>
    <x v="0"/>
    <n v="100000"/>
  </r>
  <r>
    <x v="1"/>
    <d v="2016-03-22T00:00:00"/>
    <x v="1"/>
    <x v="0"/>
    <x v="7"/>
    <x v="1"/>
    <x v="0"/>
    <n v="100000"/>
    <x v="0"/>
    <n v="100000"/>
  </r>
  <r>
    <x v="1"/>
    <d v="2016-03-23T00:00:00"/>
    <x v="0"/>
    <x v="0"/>
    <x v="0"/>
    <x v="0"/>
    <x v="0"/>
    <n v="3000000"/>
    <x v="0"/>
    <n v="3000000"/>
  </r>
  <r>
    <x v="1"/>
    <d v="2016-03-25T00:00:00"/>
    <x v="0"/>
    <x v="0"/>
    <x v="6"/>
    <x v="1"/>
    <x v="0"/>
    <n v="1900000"/>
    <x v="0"/>
    <n v="1900000"/>
  </r>
  <r>
    <x v="1"/>
    <d v="2016-03-25T00:00:00"/>
    <x v="0"/>
    <x v="0"/>
    <x v="0"/>
    <x v="0"/>
    <x v="0"/>
    <n v="1100000"/>
    <x v="0"/>
    <n v="1100000"/>
  </r>
  <r>
    <x v="1"/>
    <d v="2016-03-25T00:00:00"/>
    <x v="1"/>
    <x v="0"/>
    <x v="7"/>
    <x v="1"/>
    <x v="0"/>
    <n v="1900000"/>
    <x v="0"/>
    <n v="1900000"/>
  </r>
  <r>
    <x v="1"/>
    <d v="2016-03-31T00:00:00"/>
    <x v="0"/>
    <x v="0"/>
    <x v="6"/>
    <x v="1"/>
    <x v="0"/>
    <n v="153000"/>
    <x v="0"/>
    <n v="153000"/>
  </r>
  <r>
    <x v="1"/>
    <d v="2016-03-31T00:00:00"/>
    <x v="1"/>
    <x v="0"/>
    <x v="7"/>
    <x v="1"/>
    <x v="0"/>
    <n v="153000"/>
    <x v="0"/>
    <n v="153000"/>
  </r>
  <r>
    <x v="2"/>
    <d v="2016-04-04T00:00:00"/>
    <x v="0"/>
    <x v="0"/>
    <x v="9"/>
    <x v="1"/>
    <x v="0"/>
    <n v="4499"/>
    <x v="0"/>
    <n v="4499"/>
  </r>
  <r>
    <x v="2"/>
    <d v="2016-04-04T00:00:00"/>
    <x v="0"/>
    <x v="0"/>
    <x v="0"/>
    <x v="0"/>
    <x v="0"/>
    <n v="1150000"/>
    <x v="0"/>
    <n v="1150000"/>
  </r>
  <r>
    <x v="2"/>
    <d v="2016-04-05T00:00:00"/>
    <x v="0"/>
    <x v="0"/>
    <x v="6"/>
    <x v="1"/>
    <x v="0"/>
    <n v="465000"/>
    <x v="0"/>
    <n v="465000"/>
  </r>
  <r>
    <x v="2"/>
    <d v="2016-04-05T00:00:00"/>
    <x v="1"/>
    <x v="3"/>
    <x v="3"/>
    <x v="11"/>
    <x v="0"/>
    <n v="0"/>
    <x v="5"/>
    <n v="-350000"/>
  </r>
  <r>
    <x v="2"/>
    <d v="2016-04-05T00:00:00"/>
    <x v="1"/>
    <x v="0"/>
    <x v="7"/>
    <x v="1"/>
    <x v="0"/>
    <n v="465000"/>
    <x v="0"/>
    <n v="465000"/>
  </r>
  <r>
    <x v="2"/>
    <d v="2016-04-05T00:00:00"/>
    <x v="1"/>
    <x v="4"/>
    <x v="3"/>
    <x v="6"/>
    <x v="0"/>
    <n v="0"/>
    <x v="2"/>
    <n v="-1079406"/>
  </r>
  <r>
    <x v="2"/>
    <d v="2016-04-06T00:00:00"/>
    <x v="0"/>
    <x v="0"/>
    <x v="8"/>
    <x v="1"/>
    <x v="0"/>
    <n v="500000"/>
    <x v="0"/>
    <n v="500000"/>
  </r>
  <r>
    <x v="2"/>
    <d v="2016-04-07T00:00:00"/>
    <x v="0"/>
    <x v="0"/>
    <x v="6"/>
    <x v="1"/>
    <x v="0"/>
    <n v="20000"/>
    <x v="0"/>
    <n v="20000"/>
  </r>
  <r>
    <x v="2"/>
    <d v="2016-04-07T00:00:00"/>
    <x v="0"/>
    <x v="0"/>
    <x v="0"/>
    <x v="0"/>
    <x v="0"/>
    <n v="1100000"/>
    <x v="0"/>
    <n v="1100000"/>
  </r>
  <r>
    <x v="2"/>
    <d v="2016-04-07T00:00:00"/>
    <x v="1"/>
    <x v="0"/>
    <x v="7"/>
    <x v="1"/>
    <x v="0"/>
    <n v="20000"/>
    <x v="0"/>
    <n v="20000"/>
  </r>
  <r>
    <x v="2"/>
    <d v="2016-04-08T00:00:00"/>
    <x v="0"/>
    <x v="0"/>
    <x v="8"/>
    <x v="1"/>
    <x v="0"/>
    <n v="200000"/>
    <x v="0"/>
    <n v="200000"/>
  </r>
  <r>
    <x v="2"/>
    <d v="2016-04-10T00:00:00"/>
    <x v="1"/>
    <x v="4"/>
    <x v="4"/>
    <x v="8"/>
    <x v="3"/>
    <n v="0"/>
    <x v="3"/>
    <n v="-95000"/>
  </r>
  <r>
    <x v="2"/>
    <d v="2016-04-11T00:00:00"/>
    <x v="0"/>
    <x v="0"/>
    <x v="6"/>
    <x v="1"/>
    <x v="0"/>
    <n v="70000"/>
    <x v="0"/>
    <n v="70000"/>
  </r>
  <r>
    <x v="2"/>
    <d v="2016-04-11T00:00:00"/>
    <x v="0"/>
    <x v="0"/>
    <x v="0"/>
    <x v="0"/>
    <x v="0"/>
    <n v="3500000"/>
    <x v="0"/>
    <n v="3500000"/>
  </r>
  <r>
    <x v="2"/>
    <d v="2016-04-11T00:00:00"/>
    <x v="1"/>
    <x v="0"/>
    <x v="7"/>
    <x v="1"/>
    <x v="0"/>
    <n v="70000"/>
    <x v="0"/>
    <n v="70000"/>
  </r>
  <r>
    <x v="2"/>
    <d v="2016-04-12T00:00:00"/>
    <x v="0"/>
    <x v="0"/>
    <x v="6"/>
    <x v="1"/>
    <x v="0"/>
    <n v="40000"/>
    <x v="0"/>
    <n v="40000"/>
  </r>
  <r>
    <x v="2"/>
    <d v="2016-04-12T00:00:00"/>
    <x v="1"/>
    <x v="0"/>
    <x v="7"/>
    <x v="1"/>
    <x v="0"/>
    <n v="40000"/>
    <x v="0"/>
    <n v="40000"/>
  </r>
  <r>
    <x v="2"/>
    <d v="2016-04-15T00:00:00"/>
    <x v="0"/>
    <x v="0"/>
    <x v="8"/>
    <x v="1"/>
    <x v="0"/>
    <n v="500000"/>
    <x v="0"/>
    <n v="500000"/>
  </r>
  <r>
    <x v="2"/>
    <d v="2016-04-18T00:00:00"/>
    <x v="0"/>
    <x v="0"/>
    <x v="6"/>
    <x v="1"/>
    <x v="0"/>
    <n v="1000"/>
    <x v="0"/>
    <n v="1000"/>
  </r>
  <r>
    <x v="2"/>
    <d v="2016-04-18T00:00:00"/>
    <x v="0"/>
    <x v="0"/>
    <x v="0"/>
    <x v="0"/>
    <x v="0"/>
    <n v="5000000"/>
    <x v="0"/>
    <n v="5000000"/>
  </r>
  <r>
    <x v="2"/>
    <d v="2016-04-19T00:00:00"/>
    <x v="0"/>
    <x v="5"/>
    <x v="5"/>
    <x v="7"/>
    <x v="3"/>
    <n v="0"/>
    <x v="6"/>
    <n v="-1933831"/>
  </r>
  <r>
    <x v="2"/>
    <d v="2016-04-19T00:00:00"/>
    <x v="0"/>
    <x v="0"/>
    <x v="6"/>
    <x v="1"/>
    <x v="0"/>
    <n v="1650000"/>
    <x v="0"/>
    <n v="1650000"/>
  </r>
  <r>
    <x v="2"/>
    <d v="2016-04-19T00:00:00"/>
    <x v="0"/>
    <x v="0"/>
    <x v="0"/>
    <x v="0"/>
    <x v="0"/>
    <n v="5860000"/>
    <x v="0"/>
    <n v="5860000"/>
  </r>
  <r>
    <x v="2"/>
    <d v="2016-04-20T00:00:00"/>
    <x v="0"/>
    <x v="0"/>
    <x v="0"/>
    <x v="0"/>
    <x v="0"/>
    <n v="1400000"/>
    <x v="0"/>
    <n v="1400000"/>
  </r>
  <r>
    <x v="2"/>
    <d v="2016-04-22T00:00:00"/>
    <x v="0"/>
    <x v="0"/>
    <x v="0"/>
    <x v="0"/>
    <x v="0"/>
    <n v="2000000"/>
    <x v="0"/>
    <n v="2000000"/>
  </r>
  <r>
    <x v="2"/>
    <d v="2016-04-26T00:00:00"/>
    <x v="0"/>
    <x v="0"/>
    <x v="0"/>
    <x v="0"/>
    <x v="0"/>
    <n v="3500000"/>
    <x v="0"/>
    <n v="350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0">
  <r>
    <x v="0"/>
    <x v="0"/>
    <x v="0"/>
    <x v="0"/>
    <x v="0"/>
    <n v="-550000"/>
    <x v="0"/>
    <n v="-550000"/>
  </r>
  <r>
    <x v="0"/>
    <x v="1"/>
    <x v="0"/>
    <x v="0"/>
    <x v="0"/>
    <n v="-550000"/>
    <x v="0"/>
    <n v="-550000"/>
  </r>
  <r>
    <x v="0"/>
    <x v="2"/>
    <x v="0"/>
    <x v="0"/>
    <x v="0"/>
    <n v="-1100000"/>
    <x v="0"/>
    <n v="-1100000"/>
  </r>
  <r>
    <x v="0"/>
    <x v="3"/>
    <x v="0"/>
    <x v="0"/>
    <x v="0"/>
    <n v="-1222000"/>
    <x v="0"/>
    <n v="-1222000"/>
  </r>
  <r>
    <x v="0"/>
    <x v="4"/>
    <x v="1"/>
    <x v="1"/>
    <x v="0"/>
    <n v="-2700000"/>
    <x v="0"/>
    <n v="-2700000"/>
  </r>
  <r>
    <x v="0"/>
    <x v="4"/>
    <x v="0"/>
    <x v="0"/>
    <x v="0"/>
    <n v="-5556000"/>
    <x v="0"/>
    <n v="-5556000"/>
  </r>
  <r>
    <x v="0"/>
    <x v="4"/>
    <x v="2"/>
    <x v="1"/>
    <x v="0"/>
    <n v="2700000"/>
    <x v="0"/>
    <n v="2700000"/>
  </r>
  <r>
    <x v="0"/>
    <x v="5"/>
    <x v="1"/>
    <x v="1"/>
    <x v="0"/>
    <n v="-3000000"/>
    <x v="0"/>
    <n v="-3000000"/>
  </r>
  <r>
    <x v="0"/>
    <x v="5"/>
    <x v="2"/>
    <x v="1"/>
    <x v="0"/>
    <n v="3000000"/>
    <x v="0"/>
    <n v="3000000"/>
  </r>
  <r>
    <x v="0"/>
    <x v="6"/>
    <x v="3"/>
    <x v="1"/>
    <x v="0"/>
    <n v="-150000"/>
    <x v="0"/>
    <n v="-150000"/>
  </r>
  <r>
    <x v="0"/>
    <x v="7"/>
    <x v="3"/>
    <x v="1"/>
    <x v="0"/>
    <n v="-1075000"/>
    <x v="0"/>
    <n v="-1075000"/>
  </r>
  <r>
    <x v="0"/>
    <x v="8"/>
    <x v="1"/>
    <x v="1"/>
    <x v="0"/>
    <n v="-1800000"/>
    <x v="0"/>
    <n v="-1800000"/>
  </r>
  <r>
    <x v="0"/>
    <x v="8"/>
    <x v="2"/>
    <x v="1"/>
    <x v="0"/>
    <n v="1800000"/>
    <x v="0"/>
    <n v="1800000"/>
  </r>
  <r>
    <x v="0"/>
    <x v="9"/>
    <x v="0"/>
    <x v="0"/>
    <x v="0"/>
    <n v="-2000000"/>
    <x v="0"/>
    <n v="-2000000"/>
  </r>
  <r>
    <x v="1"/>
    <x v="10"/>
    <x v="0"/>
    <x v="0"/>
    <x v="0"/>
    <n v="-2000000"/>
    <x v="0"/>
    <n v="-2000000"/>
  </r>
  <r>
    <x v="1"/>
    <x v="11"/>
    <x v="0"/>
    <x v="0"/>
    <x v="0"/>
    <n v="-1650000"/>
    <x v="0"/>
    <n v="-1650000"/>
  </r>
  <r>
    <x v="1"/>
    <x v="12"/>
    <x v="1"/>
    <x v="1"/>
    <x v="0"/>
    <n v="-2000000"/>
    <x v="0"/>
    <n v="-2000000"/>
  </r>
  <r>
    <x v="1"/>
    <x v="12"/>
    <x v="0"/>
    <x v="0"/>
    <x v="0"/>
    <n v="-7000000"/>
    <x v="0"/>
    <n v="-7000000"/>
  </r>
  <r>
    <x v="1"/>
    <x v="12"/>
    <x v="3"/>
    <x v="1"/>
    <x v="0"/>
    <n v="-1000000"/>
    <x v="0"/>
    <n v="-1000000"/>
  </r>
  <r>
    <x v="1"/>
    <x v="12"/>
    <x v="2"/>
    <x v="1"/>
    <x v="0"/>
    <n v="2000000"/>
    <x v="0"/>
    <n v="2000000"/>
  </r>
  <r>
    <x v="1"/>
    <x v="13"/>
    <x v="1"/>
    <x v="1"/>
    <x v="0"/>
    <n v="-100000"/>
    <x v="0"/>
    <n v="-100000"/>
  </r>
  <r>
    <x v="1"/>
    <x v="13"/>
    <x v="2"/>
    <x v="1"/>
    <x v="0"/>
    <n v="100000"/>
    <x v="0"/>
    <n v="100000"/>
  </r>
  <r>
    <x v="1"/>
    <x v="14"/>
    <x v="0"/>
    <x v="0"/>
    <x v="0"/>
    <n v="-3000000"/>
    <x v="0"/>
    <n v="-3000000"/>
  </r>
  <r>
    <x v="1"/>
    <x v="15"/>
    <x v="1"/>
    <x v="1"/>
    <x v="0"/>
    <n v="-1900000"/>
    <x v="0"/>
    <n v="-1900000"/>
  </r>
  <r>
    <x v="1"/>
    <x v="15"/>
    <x v="0"/>
    <x v="0"/>
    <x v="0"/>
    <n v="-1100000"/>
    <x v="0"/>
    <n v="-1100000"/>
  </r>
  <r>
    <x v="1"/>
    <x v="15"/>
    <x v="2"/>
    <x v="1"/>
    <x v="0"/>
    <n v="1900000"/>
    <x v="0"/>
    <n v="1900000"/>
  </r>
  <r>
    <x v="1"/>
    <x v="16"/>
    <x v="1"/>
    <x v="1"/>
    <x v="0"/>
    <n v="-153000"/>
    <x v="0"/>
    <n v="-153000"/>
  </r>
  <r>
    <x v="1"/>
    <x v="16"/>
    <x v="2"/>
    <x v="1"/>
    <x v="0"/>
    <n v="153000"/>
    <x v="0"/>
    <n v="153000"/>
  </r>
  <r>
    <x v="2"/>
    <x v="17"/>
    <x v="4"/>
    <x v="1"/>
    <x v="0"/>
    <n v="-4499"/>
    <x v="0"/>
    <n v="-4499"/>
  </r>
  <r>
    <x v="2"/>
    <x v="17"/>
    <x v="0"/>
    <x v="0"/>
    <x v="0"/>
    <n v="-1150000"/>
    <x v="0"/>
    <n v="-1150000"/>
  </r>
  <r>
    <x v="2"/>
    <x v="18"/>
    <x v="1"/>
    <x v="1"/>
    <x v="0"/>
    <n v="-465000"/>
    <x v="0"/>
    <n v="-465000"/>
  </r>
  <r>
    <x v="2"/>
    <x v="18"/>
    <x v="2"/>
    <x v="1"/>
    <x v="0"/>
    <n v="465000"/>
    <x v="0"/>
    <n v="465000"/>
  </r>
  <r>
    <x v="2"/>
    <x v="19"/>
    <x v="3"/>
    <x v="1"/>
    <x v="0"/>
    <n v="-500000"/>
    <x v="0"/>
    <n v="-500000"/>
  </r>
  <r>
    <x v="2"/>
    <x v="20"/>
    <x v="1"/>
    <x v="1"/>
    <x v="0"/>
    <n v="-20000"/>
    <x v="0"/>
    <n v="-20000"/>
  </r>
  <r>
    <x v="2"/>
    <x v="20"/>
    <x v="0"/>
    <x v="0"/>
    <x v="0"/>
    <n v="-1100000"/>
    <x v="0"/>
    <n v="-1100000"/>
  </r>
  <r>
    <x v="2"/>
    <x v="20"/>
    <x v="2"/>
    <x v="1"/>
    <x v="0"/>
    <n v="20000"/>
    <x v="0"/>
    <n v="20000"/>
  </r>
  <r>
    <x v="2"/>
    <x v="21"/>
    <x v="3"/>
    <x v="1"/>
    <x v="0"/>
    <n v="-200000"/>
    <x v="0"/>
    <n v="-200000"/>
  </r>
  <r>
    <x v="2"/>
    <x v="22"/>
    <x v="1"/>
    <x v="1"/>
    <x v="0"/>
    <n v="-70000"/>
    <x v="0"/>
    <n v="-70000"/>
  </r>
  <r>
    <x v="2"/>
    <x v="22"/>
    <x v="0"/>
    <x v="0"/>
    <x v="0"/>
    <n v="-3500000"/>
    <x v="0"/>
    <n v="-3500000"/>
  </r>
  <r>
    <x v="2"/>
    <x v="22"/>
    <x v="2"/>
    <x v="1"/>
    <x v="0"/>
    <n v="70000"/>
    <x v="0"/>
    <n v="70000"/>
  </r>
  <r>
    <x v="2"/>
    <x v="23"/>
    <x v="1"/>
    <x v="1"/>
    <x v="0"/>
    <n v="-40000"/>
    <x v="0"/>
    <n v="-40000"/>
  </r>
  <r>
    <x v="2"/>
    <x v="23"/>
    <x v="2"/>
    <x v="1"/>
    <x v="0"/>
    <n v="40000"/>
    <x v="0"/>
    <n v="40000"/>
  </r>
  <r>
    <x v="2"/>
    <x v="24"/>
    <x v="3"/>
    <x v="1"/>
    <x v="0"/>
    <n v="-500000"/>
    <x v="0"/>
    <n v="-500000"/>
  </r>
  <r>
    <x v="2"/>
    <x v="25"/>
    <x v="1"/>
    <x v="1"/>
    <x v="0"/>
    <n v="-1000"/>
    <x v="0"/>
    <n v="-1000"/>
  </r>
  <r>
    <x v="2"/>
    <x v="25"/>
    <x v="0"/>
    <x v="0"/>
    <x v="0"/>
    <n v="-5000000"/>
    <x v="0"/>
    <n v="-5000000"/>
  </r>
  <r>
    <x v="2"/>
    <x v="26"/>
    <x v="1"/>
    <x v="1"/>
    <x v="0"/>
    <n v="-1650000"/>
    <x v="0"/>
    <n v="-1650000"/>
  </r>
  <r>
    <x v="2"/>
    <x v="26"/>
    <x v="0"/>
    <x v="0"/>
    <x v="0"/>
    <n v="-5860000"/>
    <x v="0"/>
    <n v="-5860000"/>
  </r>
  <r>
    <x v="2"/>
    <x v="27"/>
    <x v="0"/>
    <x v="0"/>
    <x v="0"/>
    <n v="-1400000"/>
    <x v="0"/>
    <n v="-1400000"/>
  </r>
  <r>
    <x v="2"/>
    <x v="28"/>
    <x v="0"/>
    <x v="0"/>
    <x v="0"/>
    <n v="-2000000"/>
    <x v="0"/>
    <n v="-2000000"/>
  </r>
  <r>
    <x v="2"/>
    <x v="29"/>
    <x v="0"/>
    <x v="0"/>
    <x v="0"/>
    <n v="-3500000"/>
    <x v="0"/>
    <n v="-350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">
  <r>
    <x v="0"/>
    <x v="0"/>
    <x v="0"/>
    <x v="0"/>
  </r>
  <r>
    <x v="0"/>
    <x v="1"/>
    <x v="1"/>
    <x v="1"/>
  </r>
  <r>
    <x v="0"/>
    <x v="2"/>
    <x v="2"/>
    <x v="2"/>
  </r>
  <r>
    <x v="0"/>
    <x v="2"/>
    <x v="3"/>
    <x v="3"/>
  </r>
  <r>
    <x v="0"/>
    <x v="2"/>
    <x v="4"/>
    <x v="4"/>
  </r>
  <r>
    <x v="1"/>
    <x v="3"/>
    <x v="5"/>
    <x v="5"/>
  </r>
  <r>
    <x v="1"/>
    <x v="4"/>
    <x v="6"/>
    <x v="6"/>
  </r>
  <r>
    <x v="1"/>
    <x v="2"/>
    <x v="7"/>
    <x v="2"/>
  </r>
  <r>
    <x v="1"/>
    <x v="5"/>
    <x v="8"/>
    <x v="7"/>
  </r>
  <r>
    <x v="1"/>
    <x v="5"/>
    <x v="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_ВходящееСальдо" cacheId="45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outline="1" outlineData="1" compactData="0" multipleFieldFilters="0" fieldListSortAscending="1">
  <location ref="A5:D25" firstHeaderRow="1" firstDataRow="1" firstDataCol="3"/>
  <pivotFields count="4">
    <pivotField axis="axisRow" compact="0" showAll="0" sortType="ascending">
      <items count="3">
        <item x="0"/>
        <item x="1"/>
        <item t="default"/>
      </items>
    </pivotField>
    <pivotField axis="axisRow" compact="0" showAll="0" sortType="ascending">
      <items count="7">
        <item x="0"/>
        <item x="1"/>
        <item x="3"/>
        <item x="4"/>
        <item x="2"/>
        <item x="5"/>
        <item t="default"/>
      </items>
    </pivotField>
    <pivotField axis="axisRow" compact="0" showAll="0" sortType="ascending">
      <items count="10">
        <item x="1"/>
        <item x="8"/>
        <item x="6"/>
        <item x="5"/>
        <item x="0"/>
        <item x="7"/>
        <item x="2"/>
        <item x="3"/>
        <item x="4"/>
        <item t="default"/>
      </items>
    </pivotField>
    <pivotField dataField="1" compact="0" showAll="0"/>
  </pivotFields>
  <rowFields count="3">
    <field x="0"/>
    <field x="1"/>
    <field x="2"/>
  </rowFields>
  <rowItems count="20">
    <i>
      <x/>
    </i>
    <i r="1">
      <x/>
    </i>
    <i r="2">
      <x v="4"/>
    </i>
    <i r="1">
      <x v="1"/>
    </i>
    <i r="2">
      <x/>
    </i>
    <i r="1">
      <x v="4"/>
    </i>
    <i r="2">
      <x v="6"/>
    </i>
    <i r="2">
      <x v="7"/>
    </i>
    <i r="2">
      <x v="8"/>
    </i>
    <i>
      <x v="1"/>
    </i>
    <i r="1">
      <x v="2"/>
    </i>
    <i r="2">
      <x v="3"/>
    </i>
    <i r="1">
      <x v="3"/>
    </i>
    <i r="2">
      <x v="2"/>
    </i>
    <i r="1">
      <x v="4"/>
    </i>
    <i r="2">
      <x v="5"/>
    </i>
    <i r="1">
      <x v="5"/>
    </i>
    <i r="2">
      <x v="1"/>
    </i>
    <i r="2">
      <x v="2"/>
    </i>
    <i t="grand">
      <x/>
    </i>
  </rowItems>
  <colItems count="1">
    <i/>
  </colItems>
  <dataFields count="1">
    <dataField name="Сумма по полю Sum-Отклонение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_Периоды" cacheId="41" applyNumberFormats="0" applyBorderFormats="0" applyFontFormats="0" applyPatternFormats="0" applyAlignmentFormats="0" applyWidthHeightFormats="1" dataCaption="Значения" updatedVersion="4" minRefreshableVersion="3" useAutoFormatting="1" rowGrandTotals="0" colGrandTotals="0" itemPrintTitles="1" createdVersion="4" indent="0" compact="0" outline="1" outlineData="1" compactData="0" multipleFieldFilters="0" fieldListSortAscending="1">
  <location ref="A3:M44" firstHeaderRow="1" firstDataRow="3" firstDataCol="4" rowPageCount="1" colPageCount="1"/>
  <pivotFields count="10">
    <pivotField axis="axisCol" compact="0" showAll="0" sortType="ascending">
      <items count="4">
        <item x="0"/>
        <item x="1"/>
        <item x="2"/>
        <item t="default"/>
      </items>
    </pivotField>
    <pivotField compact="0" showAll="0"/>
    <pivotField axis="axisRow" compact="0" showAll="0" sortType="ascending">
      <items count="3">
        <item x="0"/>
        <item x="1"/>
        <item t="default"/>
      </items>
    </pivotField>
    <pivotField axis="axisRow" compact="0" showAll="0" sortType="ascending">
      <items count="7">
        <item x="5"/>
        <item x="1"/>
        <item x="2"/>
        <item x="3"/>
        <item x="0"/>
        <item x="4"/>
        <item t="default"/>
      </items>
    </pivotField>
    <pivotField axis="axisRow" compact="0" showAll="0" sortType="ascending">
      <items count="11">
        <item x="1"/>
        <item x="4"/>
        <item x="3"/>
        <item x="9"/>
        <item x="2"/>
        <item x="5"/>
        <item x="7"/>
        <item x="6"/>
        <item x="0"/>
        <item x="8"/>
        <item t="default"/>
      </items>
    </pivotField>
    <pivotField axis="axisRow" compact="0" showAll="0" sortType="ascending">
      <items count="13">
        <item x="7"/>
        <item x="10"/>
        <item x="0"/>
        <item x="9"/>
        <item x="2"/>
        <item x="6"/>
        <item x="11"/>
        <item x="3"/>
        <item x="8"/>
        <item x="4"/>
        <item x="5"/>
        <item x="1"/>
        <item t="default"/>
      </items>
    </pivotField>
    <pivotField axis="axisPage" compact="0" multipleItemSelectionAllowed="1" showAll="0">
      <items count="6">
        <item x="2"/>
        <item x="0"/>
        <item x="1"/>
        <item x="3"/>
        <item x="4"/>
        <item t="default"/>
      </items>
    </pivotField>
    <pivotField dataField="1" compact="0" showAll="0"/>
    <pivotField dataField="1" compact="0" showAll="0"/>
    <pivotField dataField="1" compact="0" showAll="0"/>
  </pivotFields>
  <rowFields count="4">
    <field x="2"/>
    <field x="3"/>
    <field x="4"/>
    <field x="5"/>
  </rowFields>
  <rowItems count="39">
    <i>
      <x/>
    </i>
    <i r="1">
      <x/>
    </i>
    <i r="2">
      <x v="5"/>
    </i>
    <i r="3">
      <x/>
    </i>
    <i r="3">
      <x v="1"/>
    </i>
    <i r="3">
      <x v="3"/>
    </i>
    <i r="3">
      <x v="11"/>
    </i>
    <i r="1">
      <x v="1"/>
    </i>
    <i r="2">
      <x/>
    </i>
    <i r="3">
      <x v="11"/>
    </i>
    <i r="1">
      <x v="4"/>
    </i>
    <i r="2">
      <x v="3"/>
    </i>
    <i r="3">
      <x v="11"/>
    </i>
    <i r="2">
      <x v="7"/>
    </i>
    <i r="3">
      <x v="11"/>
    </i>
    <i r="2">
      <x v="8"/>
    </i>
    <i r="3">
      <x v="2"/>
    </i>
    <i r="2">
      <x v="9"/>
    </i>
    <i r="3">
      <x v="11"/>
    </i>
    <i>
      <x v="1"/>
    </i>
    <i r="1">
      <x v="2"/>
    </i>
    <i r="2">
      <x v="4"/>
    </i>
    <i r="3">
      <x v="11"/>
    </i>
    <i r="1">
      <x v="3"/>
    </i>
    <i r="2">
      <x v="2"/>
    </i>
    <i r="3">
      <x v="4"/>
    </i>
    <i r="3">
      <x v="6"/>
    </i>
    <i r="1">
      <x v="4"/>
    </i>
    <i r="2">
      <x v="6"/>
    </i>
    <i r="3">
      <x v="11"/>
    </i>
    <i r="1">
      <x v="5"/>
    </i>
    <i r="2">
      <x v="1"/>
    </i>
    <i r="3">
      <x v="7"/>
    </i>
    <i r="3">
      <x v="8"/>
    </i>
    <i r="3">
      <x v="9"/>
    </i>
    <i r="3">
      <x v="10"/>
    </i>
    <i r="2">
      <x v="2"/>
    </i>
    <i r="3">
      <x v="4"/>
    </i>
    <i r="3">
      <x v="5"/>
    </i>
  </rowItems>
  <colFields count="2">
    <field x="0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</colItems>
  <pageFields count="1">
    <pageField fld="6" hier="-1"/>
  </pageFields>
  <dataFields count="3">
    <dataField name="Сумма по полю План" fld="8" baseField="3" baseItem="1" numFmtId="165"/>
    <dataField name="Сумма по полю Факт" fld="7" baseField="3" baseItem="1" numFmtId="165"/>
    <dataField name="Сумма по полю Отклонение" fld="9" baseField="3" baseItem="1" numFmtId="165"/>
  </dataFields>
  <pivotTableStyleInfo name="User_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_ТрансферыНедели" cacheId="39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colGrandTotals="0" itemPrintTitles="1" createdVersion="3" indent="0" compact="0" outline="1" outlineData="1" compactData="0" multipleFieldFilters="0" fieldListSortAscending="1">
  <location ref="A3:W15" firstHeaderRow="1" firstDataRow="3" firstDataCol="2" rowPageCount="1" colPageCount="1"/>
  <pivotFields count="8">
    <pivotField axis="axisCol" compact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  <pivotField axis="axisRow" compact="0" showAll="0" sortType="ascending">
      <items count="6">
        <item x="4"/>
        <item x="3"/>
        <item x="0"/>
        <item x="1"/>
        <item x="2"/>
        <item t="default"/>
      </items>
    </pivotField>
    <pivotField axis="axisRow" compact="0" showAll="0" sortType="ascending">
      <items count="3">
        <item x="1"/>
        <item x="0"/>
        <item t="default"/>
      </items>
    </pivotField>
    <pivotField axis="axisPage" compact="0" multipleItemSelectionAllowed="1" showAll="0">
      <items count="2">
        <item x="0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2"/>
    <field x="3"/>
  </rowFields>
  <rowItems count="10">
    <i>
      <x/>
    </i>
    <i r="1">
      <x v="1"/>
    </i>
    <i>
      <x v="1"/>
    </i>
    <i r="1">
      <x v="1"/>
    </i>
    <i>
      <x v="2"/>
    </i>
    <i r="1">
      <x v="1"/>
    </i>
    <i>
      <x v="3"/>
    </i>
    <i r="1">
      <x/>
    </i>
    <i>
      <x v="4"/>
    </i>
    <i r="1">
      <x v="1"/>
    </i>
  </rowItems>
  <colFields count="2">
    <field x="0"/>
    <field x="-2"/>
  </colFields>
  <colItems count="21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</colItems>
  <pageFields count="1">
    <pageField fld="4" hier="-1"/>
  </pageFields>
  <dataFields count="3">
    <dataField name="Сумма по полю План" fld="6" showDataAs="runTotal" baseField="0" baseItem="0"/>
    <dataField name="Сумма по полю Факт" fld="5" showDataAs="runTotal" baseField="0" baseItem="0"/>
    <dataField name="Сумма по полю Отклонение" fld="7" showDataAs="runTot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_ТрансферыПериоды" cacheId="4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colGrandTotals="0" itemPrintTitles="1" createdVersion="3" indent="0" compact="0" outline="1" outlineData="1" compactData="0" multipleFieldFilters="0" fieldListSortAscending="1">
  <location ref="A3:K15" firstHeaderRow="1" firstDataRow="3" firstDataCol="2" rowPageCount="1" colPageCount="1"/>
  <pivotFields count="8">
    <pivotField axis="axisCol" compact="0" showAll="0" sortType="ascending">
      <items count="4">
        <item x="0"/>
        <item x="1"/>
        <item x="2"/>
        <item t="default"/>
      </items>
    </pivotField>
    <pivotField compact="0" showAll="0"/>
    <pivotField axis="axisRow" compact="0" showAll="0" sortType="ascending">
      <items count="6">
        <item x="4"/>
        <item x="2"/>
        <item x="1"/>
        <item x="0"/>
        <item x="3"/>
        <item t="default"/>
      </items>
    </pivotField>
    <pivotField axis="axisRow" compact="0" showAll="0" sortType="ascending">
      <items count="3">
        <item x="0"/>
        <item x="1"/>
        <item t="default"/>
      </items>
    </pivotField>
    <pivotField axis="axisPage" compact="0" multipleItemSelectionAllowed="1" showAll="0">
      <items count="2">
        <item x="0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2"/>
    <field x="3"/>
  </rowFields>
  <rowItems count="10">
    <i>
      <x/>
    </i>
    <i r="1">
      <x v="1"/>
    </i>
    <i>
      <x v="1"/>
    </i>
    <i r="1">
      <x v="1"/>
    </i>
    <i>
      <x v="2"/>
    </i>
    <i r="1">
      <x v="1"/>
    </i>
    <i>
      <x v="3"/>
    </i>
    <i r="1">
      <x/>
    </i>
    <i>
      <x v="4"/>
    </i>
    <i r="1">
      <x v="1"/>
    </i>
  </rowItems>
  <colFields count="2">
    <field x="0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</colItems>
  <pageFields count="1">
    <pageField fld="4" hier="-1"/>
  </pageFields>
  <dataFields count="3">
    <dataField name="Сумма по полю План" fld="6" showDataAs="runTotal" baseField="0" baseItem="1"/>
    <dataField name="Сумма по полю Факт" fld="5" showDataAs="runTotal" baseField="0" baseItem="1"/>
    <dataField name="Сумма по полю Отклонение" fld="7" showDataAs="runTotal" baseField="0" baseItem="1"/>
  </dataFields>
  <formats count="1">
    <format dxfId="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_Недели" cacheId="37" applyNumberFormats="0" applyBorderFormats="0" applyFontFormats="0" applyPatternFormats="0" applyAlignmentFormats="0" applyWidthHeightFormats="1" dataCaption="Значения" updatedVersion="4" minRefreshableVersion="3" useAutoFormatting="1" rowGrandTotals="0" colGrandTotals="0" itemPrintTitles="1" createdVersion="4" indent="0" compact="0" outline="1" outlineData="1" compactData="0" multipleFieldFilters="0" fieldListSortAscending="1">
  <location ref="A3:Y30" firstHeaderRow="1" firstDataRow="3" firstDataCol="4" rowPageCount="1" colPageCount="1"/>
  <pivotFields count="10">
    <pivotField axis="axisCol" compact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  <pivotField axis="axisRow" compact="0" showAll="0" sortType="ascending">
      <items count="3">
        <item x="0"/>
        <item x="1"/>
        <item t="default"/>
      </items>
    </pivotField>
    <pivotField axis="axisRow" compact="0" showAll="0" sortType="ascending">
      <items count="5">
        <item x="3"/>
        <item x="1"/>
        <item x="0"/>
        <item x="2"/>
        <item t="default"/>
      </items>
    </pivotField>
    <pivotField axis="axisRow" compact="0" showAll="0" sortType="ascending">
      <items count="9">
        <item x="6"/>
        <item x="5"/>
        <item x="4"/>
        <item x="7"/>
        <item x="3"/>
        <item x="0"/>
        <item x="1"/>
        <item x="2"/>
        <item t="default"/>
      </items>
    </pivotField>
    <pivotField axis="axisRow" compact="0" showAll="0" sortType="ascending">
      <items count="7">
        <item x="5"/>
        <item x="1"/>
        <item x="3"/>
        <item x="2"/>
        <item x="4"/>
        <item x="0"/>
        <item t="default"/>
      </items>
    </pivotField>
    <pivotField axis="axisPage" compact="0" showAll="0">
      <items count="3">
        <item x="0"/>
        <item x="1"/>
        <item t="default"/>
      </items>
    </pivotField>
    <pivotField dataField="1" compact="0" showAll="0"/>
    <pivotField dataField="1" compact="0" showAll="0"/>
    <pivotField dataField="1" compact="0" showAll="0"/>
  </pivotFields>
  <rowFields count="4">
    <field x="2"/>
    <field x="3"/>
    <field x="4"/>
    <field x="5"/>
  </rowFields>
  <rowItems count="25">
    <i>
      <x/>
    </i>
    <i r="1">
      <x/>
    </i>
    <i r="2">
      <x v="3"/>
    </i>
    <i r="3">
      <x/>
    </i>
    <i r="1">
      <x v="2"/>
    </i>
    <i r="2">
      <x v="2"/>
    </i>
    <i r="3">
      <x v="5"/>
    </i>
    <i r="2">
      <x v="5"/>
    </i>
    <i r="3">
      <x v="5"/>
    </i>
    <i r="2">
      <x v="6"/>
    </i>
    <i r="3">
      <x v="1"/>
    </i>
    <i r="2">
      <x v="7"/>
    </i>
    <i r="3">
      <x v="5"/>
    </i>
    <i>
      <x v="1"/>
    </i>
    <i r="1">
      <x v="1"/>
    </i>
    <i r="2">
      <x v="1"/>
    </i>
    <i r="3">
      <x v="3"/>
    </i>
    <i r="1">
      <x v="2"/>
    </i>
    <i r="2">
      <x v="4"/>
    </i>
    <i r="3">
      <x v="5"/>
    </i>
    <i r="1">
      <x v="3"/>
    </i>
    <i r="2">
      <x/>
    </i>
    <i r="3">
      <x v="4"/>
    </i>
    <i r="2">
      <x v="1"/>
    </i>
    <i r="3">
      <x v="2"/>
    </i>
  </rowItems>
  <colFields count="2">
    <field x="0"/>
    <field x="-2"/>
  </colFields>
  <colItems count="21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</colItems>
  <pageFields count="1">
    <pageField fld="6" hier="-1"/>
  </pageFields>
  <dataFields count="3">
    <dataField name="Сумма по полю План" fld="8" baseField="3" baseItem="0" numFmtId="165"/>
    <dataField name="Сумма по полю Факт" fld="7" baseField="3" baseItem="0" numFmtId="165"/>
    <dataField name="Сумма по полю Отклонение" fld="9" baseField="3" baseItem="0" numFmtId="165"/>
  </dataFields>
  <pivotTableStyleInfo name="User_PivotStyleDark7" showRowHeaders="1" showColHeaders="1" showRowStripes="0" showColStripes="1" showLastColumn="1"/>
</pivotTableDefinition>
</file>

<file path=xl/queryTables/queryTable1.xml><?xml version="1.0" encoding="utf-8"?>
<queryTable xmlns="http://schemas.openxmlformats.org/spreadsheetml/2006/main" name="Анализ исполнения платежного календаря_2016_04_14(02).accdb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Период" tableColumnId="1"/>
      <queryTableField id="2" name="Категория" tableColumnId="2"/>
      <queryTableField id="3" name="Наименование" tableColumnId="3"/>
      <queryTableField id="4" name="Номер договора" tableColumnId="4"/>
      <queryTableField id="5" name="Факт" tableColumnId="5"/>
      <queryTableField id="6" name="План" tableColumnId="6"/>
      <queryTableField id="7" name="Отклонение" tableColumnId="7"/>
      <queryTableField id="8" name="ЦФО" tableColumnId="8"/>
    </queryTableFields>
  </queryTableRefresh>
</queryTable>
</file>

<file path=xl/queryTables/queryTable2.xml><?xml version="1.0" encoding="utf-8"?>
<queryTable xmlns="http://schemas.openxmlformats.org/spreadsheetml/2006/main" name="Анализ исполнения платежного календаря_2016_04_14(02).accdb" connectionId="2" autoFormatId="16" applyNumberFormats="0" applyBorderFormats="0" applyFontFormats="0" applyPatternFormats="0" applyAlignmentFormats="0" applyWidthHeightFormats="0">
  <queryTableRefresh nextId="9">
    <queryTableFields count="8">
      <queryTableField id="1" name="Неделя" tableColumnId="1"/>
      <queryTableField id="2" name="Категория" tableColumnId="2"/>
      <queryTableField id="3" name="Наименование" tableColumnId="3"/>
      <queryTableField id="4" name="Номер договора" tableColumnId="4"/>
      <queryTableField id="5" name="Факт" tableColumnId="5"/>
      <queryTableField id="6" name="План" tableColumnId="6"/>
      <queryTableField id="7" name="Отклонение" tableColumnId="7"/>
      <queryTableField id="8" name="ЦФО" tableColumnId="8"/>
    </queryTableFields>
  </queryTableRefresh>
</queryTable>
</file>

<file path=xl/queryTables/queryTable3.xml><?xml version="1.0" encoding="utf-8"?>
<queryTable xmlns="http://schemas.openxmlformats.org/spreadsheetml/2006/main" name="Запрос из РабочаяБазаДанных" connectionId="6" autoFormatId="16" applyNumberFormats="0" applyBorderFormats="0" applyFontFormats="0" applyPatternFormats="0" applyAlignmentFormats="0" applyWidthHeightFormats="0">
  <queryTableRefresh nextId="6">
    <queryTableFields count="3">
      <queryTableField id="1" name="Период" tableColumnId="1"/>
      <queryTableField id="4" name="ГодНеделя_Остатки" tableColumnId="2"/>
      <queryTableField id="5" name="Остаток" tableColumnId="3"/>
    </queryTableFields>
  </queryTableRefresh>
</queryTable>
</file>

<file path=xl/queryTables/queryTable4.xml><?xml version="1.0" encoding="utf-8"?>
<queryTable xmlns="http://schemas.openxmlformats.org/spreadsheetml/2006/main" name="Запрос из РабочаяБазаДанных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Min-Дата" tableColumnId="1"/>
      <queryTableField id="2" name="Мин-Год" tableColumnId="2"/>
      <queryTableField id="3" name="Мин-Месяц" tableColumnId="3"/>
      <queryTableField id="4" name="Мин-Период" tableColumnId="4"/>
      <queryTableField id="5" name="Мин-Неделя" tableColumnId="5"/>
      <queryTableField id="6" name="Мин-ГодНеделя" tableColumnId="6"/>
    </queryTableFields>
  </queryTableRefresh>
</queryTable>
</file>

<file path=xl/queryTables/queryTable5.xml><?xml version="1.0" encoding="utf-8"?>
<queryTable xmlns="http://schemas.openxmlformats.org/spreadsheetml/2006/main" name="Запрос из РабочаяБазаДанных_1" backgroundRefresh="0" connectionId="7" autoFormatId="16" applyNumberFormats="0" applyBorderFormats="0" applyFontFormats="0" applyPatternFormats="0" applyAlignmentFormats="0" applyWidthHeightFormats="0">
  <queryTableRefresh nextId="2">
    <queryTableFields count="1">
      <queryTableField id="1" name="ЦФО" tableColumnId="1"/>
    </queryTableFields>
  </queryTableRefresh>
</queryTable>
</file>

<file path=xl/queryTables/queryTable6.xml><?xml version="1.0" encoding="utf-8"?>
<queryTable xmlns="http://schemas.openxmlformats.org/spreadsheetml/2006/main" name="Запрос из MS Access Database" backgroundRefresh="0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Наименование" tableColumnId="1"/>
      <queryTableField id="2" name="Номер договора" tableColumnId="2"/>
      <queryTableField id="3" name="Sum-План" tableColumnId="3"/>
      <queryTableField id="4" name="Sum-Факт" tableColumnId="4"/>
      <queryTableField id="5" name="Sum-Отклонение" tableColumnId="5"/>
    </queryTableFields>
  </queryTableRefresh>
</queryTable>
</file>

<file path=xl/queryTables/queryTable7.xml><?xml version="1.0" encoding="utf-8"?>
<queryTable xmlns="http://schemas.openxmlformats.org/spreadsheetml/2006/main" name="Запрос из MS Access Database_1" backgroundRefresh="0" connectionId="12" autoFormatId="16" applyNumberFormats="0" applyBorderFormats="0" applyFontFormats="0" applyPatternFormats="0" applyAlignmentFormats="0" applyWidthHeightFormats="0">
  <queryTableRefresh nextId="3">
    <queryTableFields count="1">
      <queryTableField id="2" name="ЧислоНеопреденныхПериодов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3" name="Таблица_Анализ_исполнения_платежного_календаря_2016_04_14_02_.accdb" displayName="Таблица_Анализ_исполнения_платежного_календаря_2016_04_14_02_.accdb" ref="A1:H37" tableType="queryTable" totalsRowShown="0">
  <autoFilter ref="A1:H37"/>
  <tableColumns count="8">
    <tableColumn id="1" uniqueName="1" name="Период" queryTableFieldId="1"/>
    <tableColumn id="2" uniqueName="2" name="Категория" queryTableFieldId="2"/>
    <tableColumn id="3" uniqueName="3" name="Наименование" queryTableFieldId="3"/>
    <tableColumn id="4" uniqueName="4" name="Номер договора" queryTableFieldId="4"/>
    <tableColumn id="5" uniqueName="5" name="Факт" queryTableFieldId="5"/>
    <tableColumn id="6" uniqueName="6" name="План" queryTableFieldId="6"/>
    <tableColumn id="7" uniqueName="7" name="Отклонение" queryTableFieldId="7"/>
    <tableColumn id="8" uniqueName="8" name="ЦФО" queryTableField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_Анализ_исполнения_платежного_календаря_2016_04_14_02_.accdb5" displayName="Таблица_Анализ_исполнения_платежного_календаря_2016_04_14_02_.accdb5" ref="A1:H41" tableType="queryTable" totalsRowShown="0">
  <autoFilter ref="A1:H41"/>
  <tableColumns count="8">
    <tableColumn id="1" uniqueName="1" name="Неделя" queryTableFieldId="1"/>
    <tableColumn id="2" uniqueName="2" name="Категория" queryTableFieldId="2"/>
    <tableColumn id="3" uniqueName="3" name="Наименование" queryTableFieldId="3"/>
    <tableColumn id="4" uniqueName="4" name="Номер договора" queryTableFieldId="4"/>
    <tableColumn id="5" uniqueName="5" name="Факт" queryTableFieldId="5"/>
    <tableColumn id="6" uniqueName="6" name="План" queryTableFieldId="6"/>
    <tableColumn id="7" uniqueName="7" name="Отклонение" queryTableFieldId="7"/>
    <tableColumn id="8" uniqueName="8" name="ЦФО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Таблица_Остатки" displayName="Таблица_Остатки" ref="A1:C16" tableType="queryTable" totalsRowShown="0">
  <autoFilter ref="A1:C16"/>
  <tableColumns count="3">
    <tableColumn id="1" uniqueName="1" name="Период" queryTableFieldId="1"/>
    <tableColumn id="2" uniqueName="2" name="ГодНеделя_Остатки" queryTableFieldId="4"/>
    <tableColumn id="3" uniqueName="3" name="Остаток" queryTableField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_МинимальныйПериод" displayName="Таблица_МинимальныйПериод" ref="A1:F2" tableType="queryTable" totalsRowShown="0">
  <autoFilter ref="A1:F2"/>
  <tableColumns count="6">
    <tableColumn id="1" uniqueName="1" name="Min-Дата" queryTableFieldId="1" dataDxfId="0"/>
    <tableColumn id="2" uniqueName="2" name="Мин-Год" queryTableFieldId="2"/>
    <tableColumn id="3" uniqueName="3" name="Мин-Месяц" queryTableFieldId="3"/>
    <tableColumn id="4" uniqueName="4" name="Мин-Период" queryTableFieldId="4"/>
    <tableColumn id="5" uniqueName="5" name="Мин-Неделя" queryTableFieldId="5"/>
    <tableColumn id="6" uniqueName="6" name="Мин-ГодНеделя" queryTableField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Таблица_ЦФО" displayName="Таблица_ЦФО" ref="H1:H6" tableType="queryTable" totalsRowShown="0">
  <autoFilter ref="H1:H6"/>
  <tableColumns count="1">
    <tableColumn id="1" uniqueName="1" name="ЦФО" queryTableField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Таблица_Запрос_из_MS_Access_Database" displayName="Таблица_Запрос_из_MS_Access_Database" ref="J1:N5" tableType="queryTable" totalsRowShown="0">
  <autoFilter ref="J1:N5"/>
  <tableColumns count="5">
    <tableColumn id="1" uniqueName="1" name="Наименование" queryTableFieldId="1"/>
    <tableColumn id="2" uniqueName="2" name="Номер договора" queryTableFieldId="2"/>
    <tableColumn id="3" uniqueName="3" name="Sum-План" queryTableFieldId="3"/>
    <tableColumn id="4" uniqueName="4" name="Sum-Факт" queryTableFieldId="4"/>
    <tableColumn id="5" uniqueName="5" name="Sum-Отклонение" queryTableField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Таблица_ЧислоНеопределенныхПериодов" displayName="Таблица_ЧислоНеопределенныхПериодов" ref="P1:P2" tableType="queryTable" totalsRowShown="0">
  <autoFilter ref="P1:P2"/>
  <tableColumns count="1">
    <tableColumn id="2" uniqueName="2" name="ЧислоНеопреденныхПериодов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37"/>
  <sheetViews>
    <sheetView workbookViewId="0"/>
  </sheetViews>
  <sheetFormatPr defaultRowHeight="15" x14ac:dyDescent="0.25"/>
  <cols>
    <col min="1" max="1" width="10.28515625" bestFit="1" customWidth="1"/>
    <col min="2" max="2" width="13.5703125" bestFit="1" customWidth="1"/>
    <col min="3" max="3" width="53.42578125" bestFit="1" customWidth="1"/>
    <col min="4" max="4" width="30.7109375" bestFit="1" customWidth="1"/>
    <col min="5" max="5" width="8" bestFit="1" customWidth="1"/>
    <col min="6" max="6" width="10" bestFit="1" customWidth="1"/>
    <col min="7" max="7" width="14.42578125" bestFit="1" customWidth="1"/>
    <col min="8" max="8" width="12.85546875" bestFit="1" customWidth="1"/>
    <col min="9" max="9" width="9.7109375" bestFit="1" customWidth="1"/>
    <col min="10" max="10" width="15.7109375" bestFit="1" customWidth="1"/>
    <col min="11" max="11" width="12.85546875" bestFit="1" customWidth="1"/>
  </cols>
  <sheetData>
    <row r="1" spans="1:8" x14ac:dyDescent="0.25">
      <c r="A1" t="s">
        <v>0</v>
      </c>
      <c r="B1" t="s">
        <v>15</v>
      </c>
      <c r="C1" t="s">
        <v>1</v>
      </c>
      <c r="D1" t="s">
        <v>16</v>
      </c>
      <c r="E1" t="s">
        <v>42</v>
      </c>
      <c r="F1" t="s">
        <v>41</v>
      </c>
      <c r="G1" t="s">
        <v>43</v>
      </c>
      <c r="H1" t="s">
        <v>17</v>
      </c>
    </row>
    <row r="2" spans="1:8" x14ac:dyDescent="0.25">
      <c r="A2" t="s">
        <v>2</v>
      </c>
      <c r="B2" t="s">
        <v>18</v>
      </c>
      <c r="C2" t="s">
        <v>4</v>
      </c>
      <c r="D2" t="s">
        <v>19</v>
      </c>
      <c r="E2">
        <v>0</v>
      </c>
      <c r="F2">
        <v>4321575.4000000004</v>
      </c>
      <c r="G2">
        <v>-4321575.4000000004</v>
      </c>
      <c r="H2" t="s">
        <v>20</v>
      </c>
    </row>
    <row r="3" spans="1:8" x14ac:dyDescent="0.25">
      <c r="A3" t="s">
        <v>2</v>
      </c>
      <c r="B3" t="s">
        <v>18</v>
      </c>
      <c r="C3" t="s">
        <v>4</v>
      </c>
      <c r="D3" t="s">
        <v>36</v>
      </c>
      <c r="E3">
        <v>0</v>
      </c>
      <c r="F3">
        <v>240000</v>
      </c>
      <c r="G3">
        <v>-240000</v>
      </c>
      <c r="H3" t="s">
        <v>20</v>
      </c>
    </row>
    <row r="4" spans="1:8" x14ac:dyDescent="0.25">
      <c r="A4" t="s">
        <v>2</v>
      </c>
      <c r="B4" t="s">
        <v>21</v>
      </c>
      <c r="C4" t="s">
        <v>3</v>
      </c>
      <c r="E4">
        <v>0</v>
      </c>
      <c r="F4">
        <v>50700</v>
      </c>
      <c r="G4">
        <v>-50700</v>
      </c>
      <c r="H4" t="s">
        <v>22</v>
      </c>
    </row>
    <row r="5" spans="1:8" x14ac:dyDescent="0.25">
      <c r="A5" t="s">
        <v>5</v>
      </c>
      <c r="B5" t="s">
        <v>18</v>
      </c>
      <c r="C5" t="s">
        <v>4</v>
      </c>
      <c r="D5" t="s">
        <v>25</v>
      </c>
      <c r="E5">
        <v>1933831</v>
      </c>
      <c r="F5">
        <v>1933831</v>
      </c>
      <c r="G5">
        <v>0</v>
      </c>
      <c r="H5" t="s">
        <v>20</v>
      </c>
    </row>
    <row r="6" spans="1:8" x14ac:dyDescent="0.25">
      <c r="A6" t="s">
        <v>5</v>
      </c>
      <c r="B6" t="s">
        <v>21</v>
      </c>
      <c r="C6" t="s">
        <v>3</v>
      </c>
      <c r="E6">
        <v>50700</v>
      </c>
      <c r="F6">
        <v>0</v>
      </c>
      <c r="G6">
        <v>50700</v>
      </c>
      <c r="H6" t="s">
        <v>22</v>
      </c>
    </row>
    <row r="7" spans="1:8" x14ac:dyDescent="0.25">
      <c r="A7" t="s">
        <v>5</v>
      </c>
      <c r="B7" t="s">
        <v>26</v>
      </c>
      <c r="C7" t="s">
        <v>7</v>
      </c>
      <c r="D7" t="s">
        <v>27</v>
      </c>
      <c r="E7">
        <v>1079406</v>
      </c>
      <c r="F7">
        <v>0</v>
      </c>
      <c r="G7">
        <v>1079406</v>
      </c>
      <c r="H7" t="s">
        <v>28</v>
      </c>
    </row>
    <row r="8" spans="1:8" x14ac:dyDescent="0.25">
      <c r="A8" t="s">
        <v>5</v>
      </c>
      <c r="B8" t="s">
        <v>26</v>
      </c>
      <c r="C8" t="s">
        <v>9</v>
      </c>
      <c r="D8" t="s">
        <v>27</v>
      </c>
      <c r="E8">
        <v>0</v>
      </c>
      <c r="F8">
        <v>1079406</v>
      </c>
      <c r="G8">
        <v>-1079406</v>
      </c>
      <c r="H8" t="s">
        <v>28</v>
      </c>
    </row>
    <row r="9" spans="1:8" x14ac:dyDescent="0.25">
      <c r="A9" t="s">
        <v>5</v>
      </c>
      <c r="B9" t="s">
        <v>23</v>
      </c>
      <c r="C9" t="s">
        <v>8</v>
      </c>
      <c r="D9" t="s">
        <v>19</v>
      </c>
      <c r="E9">
        <v>112306</v>
      </c>
      <c r="F9">
        <v>0</v>
      </c>
      <c r="G9">
        <v>112306</v>
      </c>
      <c r="H9" t="s">
        <v>24</v>
      </c>
    </row>
    <row r="10" spans="1:8" x14ac:dyDescent="0.25">
      <c r="A10" t="s">
        <v>5</v>
      </c>
      <c r="B10" t="s">
        <v>29</v>
      </c>
      <c r="C10" t="s">
        <v>6</v>
      </c>
      <c r="D10" t="s">
        <v>30</v>
      </c>
      <c r="E10">
        <v>28130</v>
      </c>
      <c r="F10">
        <v>0</v>
      </c>
      <c r="G10">
        <v>28130</v>
      </c>
      <c r="H10" t="s">
        <v>20</v>
      </c>
    </row>
    <row r="11" spans="1:8" x14ac:dyDescent="0.25">
      <c r="A11" t="s">
        <v>5</v>
      </c>
      <c r="B11" t="s">
        <v>29</v>
      </c>
      <c r="C11" t="s">
        <v>6</v>
      </c>
      <c r="D11" t="s">
        <v>35</v>
      </c>
      <c r="E11">
        <v>0</v>
      </c>
      <c r="F11">
        <v>95000</v>
      </c>
      <c r="G11">
        <v>-95000</v>
      </c>
      <c r="H11" t="s">
        <v>20</v>
      </c>
    </row>
    <row r="12" spans="1:8" x14ac:dyDescent="0.25">
      <c r="A12" t="s">
        <v>5</v>
      </c>
      <c r="B12" t="s">
        <v>29</v>
      </c>
      <c r="C12" t="s">
        <v>6</v>
      </c>
      <c r="D12" t="s">
        <v>31</v>
      </c>
      <c r="E12">
        <v>43577</v>
      </c>
      <c r="F12">
        <v>0</v>
      </c>
      <c r="G12">
        <v>43577</v>
      </c>
      <c r="H12" t="s">
        <v>20</v>
      </c>
    </row>
    <row r="13" spans="1:8" x14ac:dyDescent="0.25">
      <c r="A13" t="s">
        <v>5</v>
      </c>
      <c r="B13" t="s">
        <v>29</v>
      </c>
      <c r="C13" t="s">
        <v>6</v>
      </c>
      <c r="D13" t="s">
        <v>32</v>
      </c>
      <c r="E13">
        <v>14109</v>
      </c>
      <c r="F13">
        <v>0</v>
      </c>
      <c r="G13">
        <v>14109</v>
      </c>
      <c r="H13" t="s">
        <v>20</v>
      </c>
    </row>
    <row r="14" spans="1:8" x14ac:dyDescent="0.25">
      <c r="A14" t="s">
        <v>5</v>
      </c>
      <c r="B14" t="s">
        <v>29</v>
      </c>
      <c r="C14" t="s">
        <v>7</v>
      </c>
      <c r="D14" t="s">
        <v>19</v>
      </c>
      <c r="E14">
        <v>29144</v>
      </c>
      <c r="F14">
        <v>0</v>
      </c>
      <c r="G14">
        <v>29144</v>
      </c>
      <c r="H14" t="s">
        <v>28</v>
      </c>
    </row>
    <row r="15" spans="1:8" x14ac:dyDescent="0.25">
      <c r="A15" t="s">
        <v>5</v>
      </c>
      <c r="B15" t="s">
        <v>29</v>
      </c>
      <c r="C15" t="s">
        <v>7</v>
      </c>
      <c r="D15" t="s">
        <v>27</v>
      </c>
      <c r="E15">
        <v>306773</v>
      </c>
      <c r="F15">
        <v>0</v>
      </c>
      <c r="G15">
        <v>306773</v>
      </c>
      <c r="H15" t="s">
        <v>28</v>
      </c>
    </row>
    <row r="16" spans="1:8" x14ac:dyDescent="0.25">
      <c r="A16" t="s">
        <v>5</v>
      </c>
      <c r="B16" t="s">
        <v>29</v>
      </c>
      <c r="C16" t="s">
        <v>7</v>
      </c>
      <c r="D16" t="s">
        <v>33</v>
      </c>
      <c r="E16">
        <v>0</v>
      </c>
      <c r="F16">
        <v>350000</v>
      </c>
      <c r="G16">
        <v>-350000</v>
      </c>
      <c r="H16" t="s">
        <v>28</v>
      </c>
    </row>
    <row r="17" spans="1:8" x14ac:dyDescent="0.25">
      <c r="A17" t="s">
        <v>10</v>
      </c>
      <c r="B17" t="s">
        <v>18</v>
      </c>
      <c r="C17" t="s">
        <v>4</v>
      </c>
      <c r="D17" t="s">
        <v>25</v>
      </c>
      <c r="E17">
        <v>1243814</v>
      </c>
      <c r="F17">
        <v>0</v>
      </c>
      <c r="G17">
        <v>1243814</v>
      </c>
      <c r="H17" t="s">
        <v>20</v>
      </c>
    </row>
    <row r="18" spans="1:8" x14ac:dyDescent="0.25">
      <c r="A18" t="s">
        <v>10</v>
      </c>
      <c r="B18" t="s">
        <v>18</v>
      </c>
      <c r="C18" t="s">
        <v>4</v>
      </c>
      <c r="D18" t="s">
        <v>36</v>
      </c>
      <c r="E18">
        <v>41577</v>
      </c>
      <c r="F18">
        <v>0</v>
      </c>
      <c r="G18">
        <v>41577</v>
      </c>
      <c r="H18" t="s">
        <v>20</v>
      </c>
    </row>
    <row r="19" spans="1:8" x14ac:dyDescent="0.25">
      <c r="A19" t="s">
        <v>10</v>
      </c>
      <c r="B19" t="s">
        <v>18</v>
      </c>
      <c r="C19" t="s">
        <v>4</v>
      </c>
      <c r="D19" t="s">
        <v>34</v>
      </c>
      <c r="E19">
        <v>203279</v>
      </c>
      <c r="F19">
        <v>0</v>
      </c>
      <c r="G19">
        <v>203279</v>
      </c>
      <c r="H19" t="s">
        <v>20</v>
      </c>
    </row>
    <row r="20" spans="1:8" x14ac:dyDescent="0.25">
      <c r="A20" t="s">
        <v>10</v>
      </c>
      <c r="B20" t="s">
        <v>21</v>
      </c>
      <c r="C20" t="s">
        <v>3</v>
      </c>
      <c r="E20">
        <v>58481</v>
      </c>
      <c r="F20">
        <v>0</v>
      </c>
      <c r="G20">
        <v>58481</v>
      </c>
      <c r="H20" t="s">
        <v>22</v>
      </c>
    </row>
    <row r="21" spans="1:8" x14ac:dyDescent="0.25">
      <c r="A21" t="s">
        <v>10</v>
      </c>
      <c r="B21" t="s">
        <v>26</v>
      </c>
      <c r="C21" t="s">
        <v>9</v>
      </c>
      <c r="D21" t="s">
        <v>38</v>
      </c>
      <c r="E21">
        <v>0</v>
      </c>
      <c r="F21">
        <v>1079406</v>
      </c>
      <c r="G21">
        <v>-1079406</v>
      </c>
      <c r="H21" t="s">
        <v>28</v>
      </c>
    </row>
    <row r="22" spans="1:8" x14ac:dyDescent="0.25">
      <c r="A22" t="s">
        <v>10</v>
      </c>
      <c r="B22" t="s">
        <v>23</v>
      </c>
      <c r="C22" t="s">
        <v>8</v>
      </c>
      <c r="D22" t="s">
        <v>19</v>
      </c>
      <c r="E22">
        <v>118620</v>
      </c>
      <c r="F22">
        <v>0</v>
      </c>
      <c r="G22">
        <v>118620</v>
      </c>
      <c r="H22" t="s">
        <v>24</v>
      </c>
    </row>
    <row r="23" spans="1:8" x14ac:dyDescent="0.25">
      <c r="A23" t="s">
        <v>10</v>
      </c>
      <c r="B23" t="s">
        <v>29</v>
      </c>
      <c r="C23" t="s">
        <v>6</v>
      </c>
      <c r="D23" t="s">
        <v>30</v>
      </c>
      <c r="E23">
        <v>31707</v>
      </c>
      <c r="F23">
        <v>0</v>
      </c>
      <c r="G23">
        <v>31707</v>
      </c>
      <c r="H23" t="s">
        <v>20</v>
      </c>
    </row>
    <row r="24" spans="1:8" x14ac:dyDescent="0.25">
      <c r="A24" t="s">
        <v>10</v>
      </c>
      <c r="B24" t="s">
        <v>29</v>
      </c>
      <c r="C24" t="s">
        <v>6</v>
      </c>
      <c r="D24" t="s">
        <v>35</v>
      </c>
      <c r="E24">
        <v>0</v>
      </c>
      <c r="F24">
        <v>95000</v>
      </c>
      <c r="G24">
        <v>-95000</v>
      </c>
      <c r="H24" t="s">
        <v>20</v>
      </c>
    </row>
    <row r="25" spans="1:8" x14ac:dyDescent="0.25">
      <c r="A25" t="s">
        <v>10</v>
      </c>
      <c r="B25" t="s">
        <v>29</v>
      </c>
      <c r="C25" t="s">
        <v>6</v>
      </c>
      <c r="D25" t="s">
        <v>31</v>
      </c>
      <c r="E25">
        <v>49473</v>
      </c>
      <c r="F25">
        <v>0</v>
      </c>
      <c r="G25">
        <v>49473</v>
      </c>
      <c r="H25" t="s">
        <v>20</v>
      </c>
    </row>
    <row r="26" spans="1:8" x14ac:dyDescent="0.25">
      <c r="A26" t="s">
        <v>10</v>
      </c>
      <c r="B26" t="s">
        <v>29</v>
      </c>
      <c r="C26" t="s">
        <v>6</v>
      </c>
      <c r="D26" t="s">
        <v>32</v>
      </c>
      <c r="E26">
        <v>15374</v>
      </c>
      <c r="F26">
        <v>0</v>
      </c>
      <c r="G26">
        <v>15374</v>
      </c>
      <c r="H26" t="s">
        <v>20</v>
      </c>
    </row>
    <row r="27" spans="1:8" x14ac:dyDescent="0.25">
      <c r="A27" t="s">
        <v>10</v>
      </c>
      <c r="B27" t="s">
        <v>29</v>
      </c>
      <c r="C27" t="s">
        <v>7</v>
      </c>
      <c r="D27" t="s">
        <v>27</v>
      </c>
      <c r="E27">
        <v>1359070</v>
      </c>
      <c r="F27">
        <v>0</v>
      </c>
      <c r="G27">
        <v>1359070</v>
      </c>
      <c r="H27" t="s">
        <v>28</v>
      </c>
    </row>
    <row r="28" spans="1:8" x14ac:dyDescent="0.25">
      <c r="A28" t="s">
        <v>10</v>
      </c>
      <c r="B28" t="s">
        <v>29</v>
      </c>
      <c r="C28" t="s">
        <v>7</v>
      </c>
      <c r="D28" t="s">
        <v>33</v>
      </c>
      <c r="E28">
        <v>0</v>
      </c>
      <c r="F28">
        <v>350000</v>
      </c>
      <c r="G28">
        <v>-350000</v>
      </c>
      <c r="H28" t="s">
        <v>28</v>
      </c>
    </row>
    <row r="29" spans="1:8" x14ac:dyDescent="0.25">
      <c r="A29" t="s">
        <v>11</v>
      </c>
      <c r="B29" t="s">
        <v>18</v>
      </c>
      <c r="C29" t="s">
        <v>4</v>
      </c>
      <c r="D29" t="s">
        <v>37</v>
      </c>
      <c r="E29">
        <v>1180</v>
      </c>
      <c r="F29">
        <v>0</v>
      </c>
      <c r="G29">
        <v>1180</v>
      </c>
      <c r="H29" t="s">
        <v>20</v>
      </c>
    </row>
    <row r="30" spans="1:8" x14ac:dyDescent="0.25">
      <c r="A30" t="s">
        <v>11</v>
      </c>
      <c r="B30" t="s">
        <v>21</v>
      </c>
      <c r="C30" t="s">
        <v>3</v>
      </c>
      <c r="E30">
        <v>45587</v>
      </c>
      <c r="F30">
        <v>0</v>
      </c>
      <c r="G30">
        <v>45587</v>
      </c>
      <c r="H30" t="s">
        <v>22</v>
      </c>
    </row>
    <row r="31" spans="1:8" x14ac:dyDescent="0.25">
      <c r="A31" t="s">
        <v>11</v>
      </c>
      <c r="B31" t="s">
        <v>26</v>
      </c>
      <c r="C31" t="s">
        <v>9</v>
      </c>
      <c r="D31" t="s">
        <v>38</v>
      </c>
      <c r="E31">
        <v>0</v>
      </c>
      <c r="F31">
        <v>1079406</v>
      </c>
      <c r="G31">
        <v>-1079406</v>
      </c>
      <c r="H31" t="s">
        <v>28</v>
      </c>
    </row>
    <row r="32" spans="1:8" x14ac:dyDescent="0.25">
      <c r="A32" t="s">
        <v>11</v>
      </c>
      <c r="B32" t="s">
        <v>23</v>
      </c>
      <c r="C32" t="s">
        <v>8</v>
      </c>
      <c r="D32" t="s">
        <v>19</v>
      </c>
      <c r="E32">
        <v>40010</v>
      </c>
      <c r="F32">
        <v>0</v>
      </c>
      <c r="G32">
        <v>40010</v>
      </c>
      <c r="H32" t="s">
        <v>24</v>
      </c>
    </row>
    <row r="33" spans="1:8" x14ac:dyDescent="0.25">
      <c r="A33" t="s">
        <v>11</v>
      </c>
      <c r="B33" t="s">
        <v>23</v>
      </c>
      <c r="C33" t="s">
        <v>12</v>
      </c>
      <c r="D33" t="s">
        <v>19</v>
      </c>
      <c r="E33">
        <v>0</v>
      </c>
      <c r="F33">
        <v>100000</v>
      </c>
      <c r="G33">
        <v>-100000</v>
      </c>
      <c r="H33" t="s">
        <v>24</v>
      </c>
    </row>
    <row r="34" spans="1:8" x14ac:dyDescent="0.25">
      <c r="A34" t="s">
        <v>11</v>
      </c>
      <c r="B34" t="s">
        <v>29</v>
      </c>
      <c r="C34" t="s">
        <v>6</v>
      </c>
      <c r="D34" t="s">
        <v>35</v>
      </c>
      <c r="E34">
        <v>0</v>
      </c>
      <c r="F34">
        <v>95000</v>
      </c>
      <c r="G34">
        <v>-95000</v>
      </c>
      <c r="H34" t="s">
        <v>20</v>
      </c>
    </row>
    <row r="35" spans="1:8" x14ac:dyDescent="0.25">
      <c r="A35" t="s">
        <v>11</v>
      </c>
      <c r="B35" t="s">
        <v>29</v>
      </c>
      <c r="C35" t="s">
        <v>7</v>
      </c>
      <c r="D35" t="s">
        <v>33</v>
      </c>
      <c r="E35">
        <v>0</v>
      </c>
      <c r="F35">
        <v>350000</v>
      </c>
      <c r="G35">
        <v>-350000</v>
      </c>
      <c r="H35" t="s">
        <v>28</v>
      </c>
    </row>
    <row r="36" spans="1:8" x14ac:dyDescent="0.25">
      <c r="A36" t="s">
        <v>39</v>
      </c>
      <c r="B36" t="s">
        <v>18</v>
      </c>
      <c r="C36" t="s">
        <v>4</v>
      </c>
      <c r="D36" t="s">
        <v>25</v>
      </c>
      <c r="E36">
        <v>0</v>
      </c>
      <c r="F36">
        <v>1933831</v>
      </c>
      <c r="G36">
        <v>-1933831</v>
      </c>
      <c r="H36" t="s">
        <v>20</v>
      </c>
    </row>
    <row r="37" spans="1:8" x14ac:dyDescent="0.25">
      <c r="A37" t="s">
        <v>40</v>
      </c>
      <c r="B37" t="s">
        <v>18</v>
      </c>
      <c r="C37" t="s">
        <v>4</v>
      </c>
      <c r="D37" t="s">
        <v>25</v>
      </c>
      <c r="E37">
        <v>0</v>
      </c>
      <c r="F37">
        <v>1933831</v>
      </c>
      <c r="G37">
        <v>-1933831</v>
      </c>
      <c r="H37" t="s">
        <v>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41"/>
  <sheetViews>
    <sheetView workbookViewId="0">
      <selection activeCell="C35" sqref="C35"/>
    </sheetView>
  </sheetViews>
  <sheetFormatPr defaultRowHeight="15" x14ac:dyDescent="0.25"/>
  <cols>
    <col min="1" max="1" width="10.140625" bestFit="1" customWidth="1"/>
    <col min="2" max="2" width="13.5703125" bestFit="1" customWidth="1"/>
    <col min="3" max="3" width="53.42578125" bestFit="1" customWidth="1"/>
    <col min="4" max="4" width="30.7109375" bestFit="1" customWidth="1"/>
    <col min="5" max="5" width="8" bestFit="1" customWidth="1"/>
    <col min="6" max="6" width="10" bestFit="1" customWidth="1"/>
    <col min="7" max="7" width="14.42578125" bestFit="1" customWidth="1"/>
    <col min="8" max="8" width="12.85546875" bestFit="1" customWidth="1"/>
    <col min="9" max="9" width="9.7109375" bestFit="1" customWidth="1"/>
    <col min="10" max="10" width="15.7109375" bestFit="1" customWidth="1"/>
    <col min="11" max="11" width="12.85546875" bestFit="1" customWidth="1"/>
  </cols>
  <sheetData>
    <row r="1" spans="1:8" x14ac:dyDescent="0.25">
      <c r="A1" t="s">
        <v>13</v>
      </c>
      <c r="B1" t="s">
        <v>15</v>
      </c>
      <c r="C1" t="s">
        <v>1</v>
      </c>
      <c r="D1" t="s">
        <v>16</v>
      </c>
      <c r="E1" t="s">
        <v>42</v>
      </c>
      <c r="F1" t="s">
        <v>41</v>
      </c>
      <c r="G1" t="s">
        <v>43</v>
      </c>
      <c r="H1" t="s">
        <v>17</v>
      </c>
    </row>
    <row r="2" spans="1:8" x14ac:dyDescent="0.25">
      <c r="A2">
        <v>0</v>
      </c>
      <c r="B2" t="s">
        <v>18</v>
      </c>
      <c r="C2" t="s">
        <v>4</v>
      </c>
      <c r="D2" t="s">
        <v>19</v>
      </c>
      <c r="E2">
        <v>0</v>
      </c>
      <c r="F2">
        <v>4321575.4000000004</v>
      </c>
      <c r="G2">
        <v>-4321575.4000000004</v>
      </c>
      <c r="H2" t="s">
        <v>20</v>
      </c>
    </row>
    <row r="3" spans="1:8" x14ac:dyDescent="0.25">
      <c r="A3">
        <v>0</v>
      </c>
      <c r="B3" t="s">
        <v>21</v>
      </c>
      <c r="C3" t="s">
        <v>3</v>
      </c>
      <c r="E3">
        <v>0</v>
      </c>
      <c r="F3">
        <v>50700</v>
      </c>
      <c r="G3">
        <v>-50700</v>
      </c>
      <c r="H3" t="s">
        <v>22</v>
      </c>
    </row>
    <row r="4" spans="1:8" x14ac:dyDescent="0.25">
      <c r="A4">
        <v>2</v>
      </c>
      <c r="B4" t="s">
        <v>23</v>
      </c>
      <c r="C4" t="s">
        <v>12</v>
      </c>
      <c r="D4" t="s">
        <v>19</v>
      </c>
      <c r="E4">
        <v>0</v>
      </c>
      <c r="F4">
        <v>100000</v>
      </c>
      <c r="G4">
        <v>-100000</v>
      </c>
      <c r="H4" t="s">
        <v>24</v>
      </c>
    </row>
    <row r="5" spans="1:8" x14ac:dyDescent="0.25">
      <c r="A5">
        <v>3</v>
      </c>
      <c r="B5" t="s">
        <v>21</v>
      </c>
      <c r="C5" t="s">
        <v>3</v>
      </c>
      <c r="E5">
        <v>50700</v>
      </c>
      <c r="F5">
        <v>0</v>
      </c>
      <c r="G5">
        <v>50700</v>
      </c>
      <c r="H5" t="s">
        <v>22</v>
      </c>
    </row>
    <row r="6" spans="1:8" x14ac:dyDescent="0.25">
      <c r="A6">
        <v>4</v>
      </c>
      <c r="B6" t="s">
        <v>18</v>
      </c>
      <c r="C6" t="s">
        <v>4</v>
      </c>
      <c r="D6" t="s">
        <v>25</v>
      </c>
      <c r="E6">
        <v>1933831</v>
      </c>
      <c r="F6">
        <v>5801493</v>
      </c>
      <c r="G6">
        <v>-3867662</v>
      </c>
      <c r="H6" t="s">
        <v>20</v>
      </c>
    </row>
    <row r="7" spans="1:8" x14ac:dyDescent="0.25">
      <c r="A7">
        <v>4</v>
      </c>
      <c r="B7" t="s">
        <v>26</v>
      </c>
      <c r="C7" t="s">
        <v>7</v>
      </c>
      <c r="D7" t="s">
        <v>27</v>
      </c>
      <c r="E7">
        <v>1079406</v>
      </c>
      <c r="F7">
        <v>0</v>
      </c>
      <c r="G7">
        <v>1079406</v>
      </c>
      <c r="H7" t="s">
        <v>28</v>
      </c>
    </row>
    <row r="8" spans="1:8" x14ac:dyDescent="0.25">
      <c r="A8">
        <v>4</v>
      </c>
      <c r="B8" t="s">
        <v>23</v>
      </c>
      <c r="C8" t="s">
        <v>8</v>
      </c>
      <c r="D8" t="s">
        <v>19</v>
      </c>
      <c r="E8">
        <v>69000</v>
      </c>
      <c r="F8">
        <v>0</v>
      </c>
      <c r="G8">
        <v>69000</v>
      </c>
      <c r="H8" t="s">
        <v>24</v>
      </c>
    </row>
    <row r="9" spans="1:8" x14ac:dyDescent="0.25">
      <c r="A9">
        <v>4</v>
      </c>
      <c r="B9" t="s">
        <v>29</v>
      </c>
      <c r="C9" t="s">
        <v>6</v>
      </c>
      <c r="D9" t="s">
        <v>30</v>
      </c>
      <c r="E9">
        <v>28130</v>
      </c>
      <c r="F9">
        <v>0</v>
      </c>
      <c r="G9">
        <v>28130</v>
      </c>
      <c r="H9" t="s">
        <v>20</v>
      </c>
    </row>
    <row r="10" spans="1:8" x14ac:dyDescent="0.25">
      <c r="A10">
        <v>4</v>
      </c>
      <c r="B10" t="s">
        <v>29</v>
      </c>
      <c r="C10" t="s">
        <v>6</v>
      </c>
      <c r="D10" t="s">
        <v>31</v>
      </c>
      <c r="E10">
        <v>43577</v>
      </c>
      <c r="F10">
        <v>0</v>
      </c>
      <c r="G10">
        <v>43577</v>
      </c>
      <c r="H10" t="s">
        <v>20</v>
      </c>
    </row>
    <row r="11" spans="1:8" x14ac:dyDescent="0.25">
      <c r="A11">
        <v>4</v>
      </c>
      <c r="B11" t="s">
        <v>29</v>
      </c>
      <c r="C11" t="s">
        <v>6</v>
      </c>
      <c r="D11" t="s">
        <v>32</v>
      </c>
      <c r="E11">
        <v>14109</v>
      </c>
      <c r="F11">
        <v>0</v>
      </c>
      <c r="G11">
        <v>14109</v>
      </c>
      <c r="H11" t="s">
        <v>20</v>
      </c>
    </row>
    <row r="12" spans="1:8" x14ac:dyDescent="0.25">
      <c r="A12">
        <v>4</v>
      </c>
      <c r="B12" t="s">
        <v>29</v>
      </c>
      <c r="C12" t="s">
        <v>7</v>
      </c>
      <c r="D12" t="s">
        <v>19</v>
      </c>
      <c r="E12">
        <v>29144</v>
      </c>
      <c r="F12">
        <v>0</v>
      </c>
      <c r="G12">
        <v>29144</v>
      </c>
      <c r="H12" t="s">
        <v>28</v>
      </c>
    </row>
    <row r="13" spans="1:8" x14ac:dyDescent="0.25">
      <c r="A13">
        <v>4</v>
      </c>
      <c r="B13" t="s">
        <v>29</v>
      </c>
      <c r="C13" t="s">
        <v>7</v>
      </c>
      <c r="D13" t="s">
        <v>27</v>
      </c>
      <c r="E13">
        <v>306773</v>
      </c>
      <c r="F13">
        <v>0</v>
      </c>
      <c r="G13">
        <v>306773</v>
      </c>
      <c r="H13" t="s">
        <v>28</v>
      </c>
    </row>
    <row r="14" spans="1:8" x14ac:dyDescent="0.25">
      <c r="A14">
        <v>5</v>
      </c>
      <c r="B14" t="s">
        <v>23</v>
      </c>
      <c r="C14" t="s">
        <v>8</v>
      </c>
      <c r="D14" t="s">
        <v>19</v>
      </c>
      <c r="E14">
        <v>43306</v>
      </c>
      <c r="F14">
        <v>0</v>
      </c>
      <c r="G14">
        <v>43306</v>
      </c>
      <c r="H14" t="s">
        <v>24</v>
      </c>
    </row>
    <row r="15" spans="1:8" x14ac:dyDescent="0.25">
      <c r="A15">
        <v>6</v>
      </c>
      <c r="B15" t="s">
        <v>21</v>
      </c>
      <c r="C15" t="s">
        <v>3</v>
      </c>
      <c r="E15">
        <v>45331</v>
      </c>
      <c r="F15">
        <v>0</v>
      </c>
      <c r="G15">
        <v>45331</v>
      </c>
      <c r="H15" t="s">
        <v>22</v>
      </c>
    </row>
    <row r="16" spans="1:8" x14ac:dyDescent="0.25">
      <c r="A16">
        <v>6</v>
      </c>
      <c r="B16" t="s">
        <v>26</v>
      </c>
      <c r="C16" t="s">
        <v>9</v>
      </c>
      <c r="D16" t="s">
        <v>27</v>
      </c>
      <c r="E16">
        <v>0</v>
      </c>
      <c r="F16">
        <v>1079406</v>
      </c>
      <c r="G16">
        <v>-1079406</v>
      </c>
      <c r="H16" t="s">
        <v>28</v>
      </c>
    </row>
    <row r="17" spans="1:8" x14ac:dyDescent="0.25">
      <c r="A17">
        <v>6</v>
      </c>
      <c r="B17" t="s">
        <v>23</v>
      </c>
      <c r="C17" t="s">
        <v>8</v>
      </c>
      <c r="D17" t="s">
        <v>19</v>
      </c>
      <c r="E17">
        <v>15780</v>
      </c>
      <c r="F17">
        <v>0</v>
      </c>
      <c r="G17">
        <v>15780</v>
      </c>
      <c r="H17" t="s">
        <v>24</v>
      </c>
    </row>
    <row r="18" spans="1:8" x14ac:dyDescent="0.25">
      <c r="A18">
        <v>6</v>
      </c>
      <c r="B18" t="s">
        <v>29</v>
      </c>
      <c r="C18" t="s">
        <v>6</v>
      </c>
      <c r="D18" t="s">
        <v>30</v>
      </c>
      <c r="E18">
        <v>31707</v>
      </c>
      <c r="F18">
        <v>0</v>
      </c>
      <c r="G18">
        <v>31707</v>
      </c>
      <c r="H18" t="s">
        <v>20</v>
      </c>
    </row>
    <row r="19" spans="1:8" x14ac:dyDescent="0.25">
      <c r="A19">
        <v>6</v>
      </c>
      <c r="B19" t="s">
        <v>29</v>
      </c>
      <c r="C19" t="s">
        <v>6</v>
      </c>
      <c r="D19" t="s">
        <v>31</v>
      </c>
      <c r="E19">
        <v>49473</v>
      </c>
      <c r="F19">
        <v>0</v>
      </c>
      <c r="G19">
        <v>49473</v>
      </c>
      <c r="H19" t="s">
        <v>20</v>
      </c>
    </row>
    <row r="20" spans="1:8" x14ac:dyDescent="0.25">
      <c r="A20">
        <v>6</v>
      </c>
      <c r="B20" t="s">
        <v>29</v>
      </c>
      <c r="C20" t="s">
        <v>6</v>
      </c>
      <c r="D20" t="s">
        <v>32</v>
      </c>
      <c r="E20">
        <v>15374</v>
      </c>
      <c r="F20">
        <v>0</v>
      </c>
      <c r="G20">
        <v>15374</v>
      </c>
      <c r="H20" t="s">
        <v>20</v>
      </c>
    </row>
    <row r="21" spans="1:8" x14ac:dyDescent="0.25">
      <c r="A21">
        <v>6</v>
      </c>
      <c r="B21" t="s">
        <v>29</v>
      </c>
      <c r="C21" t="s">
        <v>7</v>
      </c>
      <c r="D21" t="s">
        <v>33</v>
      </c>
      <c r="E21">
        <v>0</v>
      </c>
      <c r="F21">
        <v>350000</v>
      </c>
      <c r="G21">
        <v>-350000</v>
      </c>
      <c r="H21" t="s">
        <v>28</v>
      </c>
    </row>
    <row r="22" spans="1:8" x14ac:dyDescent="0.25">
      <c r="A22">
        <v>7</v>
      </c>
      <c r="B22" t="s">
        <v>18</v>
      </c>
      <c r="C22" t="s">
        <v>4</v>
      </c>
      <c r="D22" t="s">
        <v>25</v>
      </c>
      <c r="E22">
        <v>84960</v>
      </c>
      <c r="F22">
        <v>0</v>
      </c>
      <c r="G22">
        <v>84960</v>
      </c>
      <c r="H22" t="s">
        <v>20</v>
      </c>
    </row>
    <row r="23" spans="1:8" x14ac:dyDescent="0.25">
      <c r="A23">
        <v>7</v>
      </c>
      <c r="B23" t="s">
        <v>18</v>
      </c>
      <c r="C23" t="s">
        <v>4</v>
      </c>
      <c r="D23" t="s">
        <v>34</v>
      </c>
      <c r="E23">
        <v>203279</v>
      </c>
      <c r="F23">
        <v>0</v>
      </c>
      <c r="G23">
        <v>203279</v>
      </c>
      <c r="H23" t="s">
        <v>20</v>
      </c>
    </row>
    <row r="24" spans="1:8" x14ac:dyDescent="0.25">
      <c r="A24">
        <v>7</v>
      </c>
      <c r="B24" t="s">
        <v>23</v>
      </c>
      <c r="C24" t="s">
        <v>8</v>
      </c>
      <c r="D24" t="s">
        <v>19</v>
      </c>
      <c r="E24">
        <v>28120</v>
      </c>
      <c r="F24">
        <v>0</v>
      </c>
      <c r="G24">
        <v>28120</v>
      </c>
      <c r="H24" t="s">
        <v>24</v>
      </c>
    </row>
    <row r="25" spans="1:8" x14ac:dyDescent="0.25">
      <c r="A25">
        <v>7</v>
      </c>
      <c r="B25" t="s">
        <v>29</v>
      </c>
      <c r="C25" t="s">
        <v>6</v>
      </c>
      <c r="D25" t="s">
        <v>35</v>
      </c>
      <c r="E25">
        <v>0</v>
      </c>
      <c r="F25">
        <v>95000</v>
      </c>
      <c r="G25">
        <v>-95000</v>
      </c>
      <c r="H25" t="s">
        <v>20</v>
      </c>
    </row>
    <row r="26" spans="1:8" x14ac:dyDescent="0.25">
      <c r="A26">
        <v>8</v>
      </c>
      <c r="B26" t="s">
        <v>18</v>
      </c>
      <c r="C26" t="s">
        <v>4</v>
      </c>
      <c r="D26" t="s">
        <v>25</v>
      </c>
      <c r="E26">
        <v>1158854</v>
      </c>
      <c r="F26">
        <v>0</v>
      </c>
      <c r="G26">
        <v>1158854</v>
      </c>
      <c r="H26" t="s">
        <v>20</v>
      </c>
    </row>
    <row r="27" spans="1:8" x14ac:dyDescent="0.25">
      <c r="A27">
        <v>8</v>
      </c>
      <c r="B27" t="s">
        <v>18</v>
      </c>
      <c r="C27" t="s">
        <v>4</v>
      </c>
      <c r="D27" t="s">
        <v>36</v>
      </c>
      <c r="E27">
        <v>41577</v>
      </c>
      <c r="F27">
        <v>0</v>
      </c>
      <c r="G27">
        <v>41577</v>
      </c>
      <c r="H27" t="s">
        <v>20</v>
      </c>
    </row>
    <row r="28" spans="1:8" x14ac:dyDescent="0.25">
      <c r="A28">
        <v>8</v>
      </c>
      <c r="B28" t="s">
        <v>23</v>
      </c>
      <c r="C28" t="s">
        <v>8</v>
      </c>
      <c r="D28" t="s">
        <v>19</v>
      </c>
      <c r="E28">
        <v>3980</v>
      </c>
      <c r="F28">
        <v>0</v>
      </c>
      <c r="G28">
        <v>3980</v>
      </c>
      <c r="H28" t="s">
        <v>24</v>
      </c>
    </row>
    <row r="29" spans="1:8" x14ac:dyDescent="0.25">
      <c r="A29">
        <v>8</v>
      </c>
      <c r="B29" t="s">
        <v>29</v>
      </c>
      <c r="C29" t="s">
        <v>7</v>
      </c>
      <c r="D29" t="s">
        <v>27</v>
      </c>
      <c r="E29">
        <v>1079406</v>
      </c>
      <c r="F29">
        <v>0</v>
      </c>
      <c r="G29">
        <v>1079406</v>
      </c>
      <c r="H29" t="s">
        <v>28</v>
      </c>
    </row>
    <row r="30" spans="1:8" x14ac:dyDescent="0.25">
      <c r="A30">
        <v>9</v>
      </c>
      <c r="B30" t="s">
        <v>29</v>
      </c>
      <c r="C30" t="s">
        <v>7</v>
      </c>
      <c r="D30" t="s">
        <v>27</v>
      </c>
      <c r="E30">
        <v>279664</v>
      </c>
      <c r="F30">
        <v>0</v>
      </c>
      <c r="G30">
        <v>279664</v>
      </c>
      <c r="H30" t="s">
        <v>28</v>
      </c>
    </row>
    <row r="31" spans="1:8" x14ac:dyDescent="0.25">
      <c r="A31">
        <v>10</v>
      </c>
      <c r="B31" t="s">
        <v>18</v>
      </c>
      <c r="C31" t="s">
        <v>4</v>
      </c>
      <c r="D31" t="s">
        <v>37</v>
      </c>
      <c r="E31">
        <v>1180</v>
      </c>
      <c r="F31">
        <v>0</v>
      </c>
      <c r="G31">
        <v>1180</v>
      </c>
      <c r="H31" t="s">
        <v>20</v>
      </c>
    </row>
    <row r="32" spans="1:8" x14ac:dyDescent="0.25">
      <c r="A32">
        <v>10</v>
      </c>
      <c r="B32" t="s">
        <v>21</v>
      </c>
      <c r="C32" t="s">
        <v>3</v>
      </c>
      <c r="E32">
        <v>13150</v>
      </c>
      <c r="F32">
        <v>0</v>
      </c>
      <c r="G32">
        <v>13150</v>
      </c>
      <c r="H32" t="s">
        <v>22</v>
      </c>
    </row>
    <row r="33" spans="1:8" x14ac:dyDescent="0.25">
      <c r="A33">
        <v>10</v>
      </c>
      <c r="B33" t="s">
        <v>23</v>
      </c>
      <c r="C33" t="s">
        <v>8</v>
      </c>
      <c r="D33" t="s">
        <v>19</v>
      </c>
      <c r="E33">
        <v>110750</v>
      </c>
      <c r="F33">
        <v>0</v>
      </c>
      <c r="G33">
        <v>110750</v>
      </c>
      <c r="H33" t="s">
        <v>24</v>
      </c>
    </row>
    <row r="34" spans="1:8" x14ac:dyDescent="0.25">
      <c r="A34">
        <v>11</v>
      </c>
      <c r="B34" t="s">
        <v>21</v>
      </c>
      <c r="C34" t="s">
        <v>3</v>
      </c>
      <c r="E34">
        <v>45587</v>
      </c>
      <c r="F34">
        <v>0</v>
      </c>
      <c r="G34">
        <v>45587</v>
      </c>
      <c r="H34" t="s">
        <v>22</v>
      </c>
    </row>
    <row r="35" spans="1:8" x14ac:dyDescent="0.25">
      <c r="A35">
        <v>11</v>
      </c>
      <c r="B35" t="s">
        <v>26</v>
      </c>
      <c r="C35" t="s">
        <v>9</v>
      </c>
      <c r="D35" t="s">
        <v>38</v>
      </c>
      <c r="E35">
        <v>0</v>
      </c>
      <c r="F35">
        <v>1079406</v>
      </c>
      <c r="G35">
        <v>-1079406</v>
      </c>
      <c r="H35" t="s">
        <v>28</v>
      </c>
    </row>
    <row r="36" spans="1:8" x14ac:dyDescent="0.25">
      <c r="A36">
        <v>11</v>
      </c>
      <c r="B36" t="s">
        <v>29</v>
      </c>
      <c r="C36" t="s">
        <v>6</v>
      </c>
      <c r="D36" t="s">
        <v>35</v>
      </c>
      <c r="E36">
        <v>0</v>
      </c>
      <c r="F36">
        <v>95000</v>
      </c>
      <c r="G36">
        <v>-95000</v>
      </c>
      <c r="H36" t="s">
        <v>20</v>
      </c>
    </row>
    <row r="37" spans="1:8" x14ac:dyDescent="0.25">
      <c r="A37">
        <v>11</v>
      </c>
      <c r="B37" t="s">
        <v>29</v>
      </c>
      <c r="C37" t="s">
        <v>7</v>
      </c>
      <c r="D37" t="s">
        <v>33</v>
      </c>
      <c r="E37">
        <v>0</v>
      </c>
      <c r="F37">
        <v>350000</v>
      </c>
      <c r="G37">
        <v>-350000</v>
      </c>
      <c r="H37" t="s">
        <v>28</v>
      </c>
    </row>
    <row r="38" spans="1:8" x14ac:dyDescent="0.25">
      <c r="A38">
        <v>15</v>
      </c>
      <c r="B38" t="s">
        <v>26</v>
      </c>
      <c r="C38" t="s">
        <v>9</v>
      </c>
      <c r="D38" t="s">
        <v>38</v>
      </c>
      <c r="E38">
        <v>0</v>
      </c>
      <c r="F38">
        <v>1079406</v>
      </c>
      <c r="G38">
        <v>-1079406</v>
      </c>
      <c r="H38" t="s">
        <v>28</v>
      </c>
    </row>
    <row r="39" spans="1:8" x14ac:dyDescent="0.25">
      <c r="A39">
        <v>15</v>
      </c>
      <c r="B39" t="s">
        <v>29</v>
      </c>
      <c r="C39" t="s">
        <v>6</v>
      </c>
      <c r="D39" t="s">
        <v>35</v>
      </c>
      <c r="E39">
        <v>0</v>
      </c>
      <c r="F39">
        <v>95000</v>
      </c>
      <c r="G39">
        <v>-95000</v>
      </c>
      <c r="H39" t="s">
        <v>20</v>
      </c>
    </row>
    <row r="40" spans="1:8" x14ac:dyDescent="0.25">
      <c r="A40">
        <v>15</v>
      </c>
      <c r="B40" t="s">
        <v>29</v>
      </c>
      <c r="C40" t="s">
        <v>7</v>
      </c>
      <c r="D40" t="s">
        <v>33</v>
      </c>
      <c r="E40">
        <v>0</v>
      </c>
      <c r="F40">
        <v>350000</v>
      </c>
      <c r="G40">
        <v>-350000</v>
      </c>
      <c r="H40" t="s">
        <v>28</v>
      </c>
    </row>
    <row r="41" spans="1:8" x14ac:dyDescent="0.25">
      <c r="A41">
        <v>42</v>
      </c>
      <c r="B41" t="s">
        <v>18</v>
      </c>
      <c r="C41" t="s">
        <v>4</v>
      </c>
      <c r="D41" t="s">
        <v>36</v>
      </c>
      <c r="E41">
        <v>0</v>
      </c>
      <c r="F41">
        <v>240000</v>
      </c>
      <c r="G41">
        <v>-240000</v>
      </c>
      <c r="H41" t="s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6"/>
  <sheetViews>
    <sheetView workbookViewId="0">
      <selection activeCell="D5" sqref="D5"/>
    </sheetView>
  </sheetViews>
  <sheetFormatPr defaultRowHeight="15" x14ac:dyDescent="0.25"/>
  <cols>
    <col min="1" max="1" width="10.42578125" bestFit="1" customWidth="1"/>
    <col min="2" max="2" width="22" bestFit="1" customWidth="1"/>
    <col min="3" max="3" width="10.42578125" bestFit="1" customWidth="1"/>
    <col min="4" max="4" width="21.85546875" bestFit="1" customWidth="1"/>
    <col min="5" max="5" width="10.42578125" bestFit="1" customWidth="1"/>
  </cols>
  <sheetData>
    <row r="1" spans="1:3" x14ac:dyDescent="0.25">
      <c r="A1" t="s">
        <v>0</v>
      </c>
      <c r="B1" t="s">
        <v>72</v>
      </c>
      <c r="C1" t="s">
        <v>14</v>
      </c>
    </row>
    <row r="2" spans="1:3" x14ac:dyDescent="0.25">
      <c r="B2" t="s">
        <v>73</v>
      </c>
      <c r="C2">
        <v>55000</v>
      </c>
    </row>
    <row r="3" spans="1:3" x14ac:dyDescent="0.25">
      <c r="B3" t="s">
        <v>74</v>
      </c>
      <c r="C3">
        <v>324244</v>
      </c>
    </row>
    <row r="4" spans="1:3" x14ac:dyDescent="0.25">
      <c r="B4" t="s">
        <v>75</v>
      </c>
      <c r="C4">
        <v>352</v>
      </c>
    </row>
    <row r="5" spans="1:3" x14ac:dyDescent="0.25">
      <c r="B5" t="s">
        <v>76</v>
      </c>
    </row>
    <row r="6" spans="1:3" x14ac:dyDescent="0.25">
      <c r="B6" t="s">
        <v>77</v>
      </c>
      <c r="C6">
        <v>-32443</v>
      </c>
    </row>
    <row r="7" spans="1:3" x14ac:dyDescent="0.25">
      <c r="B7" t="s">
        <v>78</v>
      </c>
      <c r="C7">
        <v>23423</v>
      </c>
    </row>
    <row r="8" spans="1:3" x14ac:dyDescent="0.25">
      <c r="B8" t="s">
        <v>79</v>
      </c>
      <c r="C8">
        <v>264363</v>
      </c>
    </row>
    <row r="9" spans="1:3" x14ac:dyDescent="0.25">
      <c r="B9" t="s">
        <v>80</v>
      </c>
      <c r="C9">
        <v>50000</v>
      </c>
    </row>
    <row r="10" spans="1:3" x14ac:dyDescent="0.25">
      <c r="B10" t="s">
        <v>81</v>
      </c>
      <c r="C10">
        <v>50000</v>
      </c>
    </row>
    <row r="11" spans="1:3" x14ac:dyDescent="0.25">
      <c r="B11" t="s">
        <v>82</v>
      </c>
      <c r="C11">
        <v>45325</v>
      </c>
    </row>
    <row r="12" spans="1:3" x14ac:dyDescent="0.25">
      <c r="B12" t="s">
        <v>83</v>
      </c>
      <c r="C12">
        <v>242362</v>
      </c>
    </row>
    <row r="13" spans="1:3" x14ac:dyDescent="0.25">
      <c r="B13" t="s">
        <v>84</v>
      </c>
      <c r="C13">
        <v>343432</v>
      </c>
    </row>
    <row r="14" spans="1:3" x14ac:dyDescent="0.25">
      <c r="A14" t="s">
        <v>5</v>
      </c>
      <c r="B14" t="s">
        <v>19</v>
      </c>
      <c r="C14">
        <v>55000</v>
      </c>
    </row>
    <row r="15" spans="1:3" x14ac:dyDescent="0.25">
      <c r="A15" t="s">
        <v>10</v>
      </c>
      <c r="B15" t="s">
        <v>19</v>
      </c>
      <c r="C15">
        <v>235235</v>
      </c>
    </row>
    <row r="16" spans="1:3" x14ac:dyDescent="0.25">
      <c r="A16" t="s">
        <v>11</v>
      </c>
      <c r="B16" t="s">
        <v>19</v>
      </c>
      <c r="C16">
        <v>180002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P25"/>
  <sheetViews>
    <sheetView workbookViewId="0">
      <selection activeCell="C34" sqref="C34"/>
    </sheetView>
  </sheetViews>
  <sheetFormatPr defaultRowHeight="15" x14ac:dyDescent="0.25"/>
  <cols>
    <col min="1" max="1" width="14.42578125" customWidth="1"/>
    <col min="2" max="2" width="11.42578125" customWidth="1"/>
    <col min="3" max="3" width="25.7109375" customWidth="1"/>
    <col min="4" max="4" width="32.42578125" customWidth="1"/>
    <col min="5" max="5" width="15.140625" customWidth="1"/>
    <col min="6" max="6" width="18.5703125" customWidth="1"/>
    <col min="8" max="8" width="12.85546875" bestFit="1" customWidth="1"/>
    <col min="10" max="10" width="17.28515625" customWidth="1"/>
    <col min="11" max="11" width="18.7109375" customWidth="1"/>
    <col min="12" max="12" width="12.42578125" customWidth="1"/>
    <col min="13" max="13" width="12.28515625" customWidth="1"/>
    <col min="14" max="14" width="19.28515625" customWidth="1"/>
    <col min="16" max="16" width="33.140625" customWidth="1"/>
    <col min="17" max="17" width="16.5703125" customWidth="1"/>
    <col min="18" max="18" width="25.85546875" bestFit="1" customWidth="1"/>
    <col min="19" max="19" width="30.85546875" bestFit="1" customWidth="1"/>
    <col min="20" max="20" width="12.28515625" bestFit="1" customWidth="1"/>
    <col min="21" max="21" width="12.42578125" bestFit="1" customWidth="1"/>
    <col min="22" max="22" width="19.28515625" bestFit="1" customWidth="1"/>
  </cols>
  <sheetData>
    <row r="1" spans="1:16" x14ac:dyDescent="0.25">
      <c r="A1" t="s">
        <v>49</v>
      </c>
      <c r="B1" t="s">
        <v>63</v>
      </c>
      <c r="C1" t="s">
        <v>64</v>
      </c>
      <c r="D1" t="s">
        <v>50</v>
      </c>
      <c r="E1" t="s">
        <v>51</v>
      </c>
      <c r="F1" t="s">
        <v>69</v>
      </c>
      <c r="H1" t="s">
        <v>17</v>
      </c>
      <c r="J1" t="s">
        <v>1</v>
      </c>
      <c r="K1" t="s">
        <v>16</v>
      </c>
      <c r="L1" t="s">
        <v>88</v>
      </c>
      <c r="M1" t="s">
        <v>87</v>
      </c>
      <c r="N1" t="s">
        <v>89</v>
      </c>
      <c r="P1" t="s">
        <v>108</v>
      </c>
    </row>
    <row r="2" spans="1:16" x14ac:dyDescent="0.25">
      <c r="A2" s="9">
        <v>42369</v>
      </c>
      <c r="B2">
        <v>2015</v>
      </c>
      <c r="C2">
        <v>12</v>
      </c>
      <c r="D2" t="s">
        <v>2</v>
      </c>
      <c r="E2">
        <v>53</v>
      </c>
      <c r="F2" t="s">
        <v>90</v>
      </c>
      <c r="H2" t="s">
        <v>105</v>
      </c>
      <c r="J2" t="s">
        <v>96</v>
      </c>
      <c r="K2" t="s">
        <v>34</v>
      </c>
      <c r="L2">
        <v>0</v>
      </c>
      <c r="M2">
        <v>7400000</v>
      </c>
      <c r="N2">
        <v>7400000</v>
      </c>
      <c r="P2">
        <v>1</v>
      </c>
    </row>
    <row r="3" spans="1:16" x14ac:dyDescent="0.25">
      <c r="H3" t="s">
        <v>20</v>
      </c>
      <c r="J3" t="s">
        <v>95</v>
      </c>
      <c r="K3" t="s">
        <v>34</v>
      </c>
      <c r="L3">
        <v>0</v>
      </c>
      <c r="M3">
        <v>-7400000</v>
      </c>
      <c r="N3">
        <v>-7400000</v>
      </c>
    </row>
    <row r="4" spans="1:16" x14ac:dyDescent="0.25">
      <c r="A4" s="82" t="s">
        <v>65</v>
      </c>
      <c r="B4" s="82"/>
      <c r="H4" t="s">
        <v>24</v>
      </c>
      <c r="J4" t="s">
        <v>97</v>
      </c>
      <c r="K4" t="s">
        <v>98</v>
      </c>
      <c r="L4">
        <v>0</v>
      </c>
      <c r="M4">
        <v>-6690000</v>
      </c>
      <c r="N4">
        <v>-6690000</v>
      </c>
    </row>
    <row r="5" spans="1:16" x14ac:dyDescent="0.25">
      <c r="A5" s="8" t="s">
        <v>59</v>
      </c>
      <c r="B5" s="8" t="s">
        <v>60</v>
      </c>
      <c r="C5" s="8" t="s">
        <v>1</v>
      </c>
      <c r="D5" t="s">
        <v>62</v>
      </c>
      <c r="H5" t="s">
        <v>22</v>
      </c>
      <c r="J5" t="s">
        <v>99</v>
      </c>
      <c r="K5" t="s">
        <v>34</v>
      </c>
      <c r="L5">
        <v>0</v>
      </c>
      <c r="M5">
        <v>-360000</v>
      </c>
      <c r="N5">
        <v>-360000</v>
      </c>
    </row>
    <row r="6" spans="1:16" x14ac:dyDescent="0.25">
      <c r="A6" t="s">
        <v>56</v>
      </c>
      <c r="D6" s="20">
        <v>14489502</v>
      </c>
      <c r="H6" t="s">
        <v>28</v>
      </c>
    </row>
    <row r="7" spans="1:16" x14ac:dyDescent="0.25">
      <c r="B7" t="s">
        <v>85</v>
      </c>
      <c r="D7" s="20">
        <v>-11198</v>
      </c>
    </row>
    <row r="8" spans="1:16" x14ac:dyDescent="0.25">
      <c r="C8" t="s">
        <v>4</v>
      </c>
      <c r="D8" s="20">
        <v>-11198</v>
      </c>
    </row>
    <row r="9" spans="1:16" x14ac:dyDescent="0.25">
      <c r="B9" t="s">
        <v>71</v>
      </c>
      <c r="D9" s="20">
        <v>50700</v>
      </c>
    </row>
    <row r="10" spans="1:16" x14ac:dyDescent="0.25">
      <c r="C10" t="s">
        <v>3</v>
      </c>
      <c r="D10" s="20">
        <v>50700</v>
      </c>
    </row>
    <row r="11" spans="1:16" x14ac:dyDescent="0.25">
      <c r="B11" t="s">
        <v>101</v>
      </c>
      <c r="D11" s="20">
        <v>14450000</v>
      </c>
    </row>
    <row r="12" spans="1:16" x14ac:dyDescent="0.25">
      <c r="C12" t="s">
        <v>95</v>
      </c>
      <c r="D12" s="20">
        <v>7400000</v>
      </c>
    </row>
    <row r="13" spans="1:16" x14ac:dyDescent="0.25">
      <c r="C13" t="s">
        <v>97</v>
      </c>
      <c r="D13" s="20">
        <v>6690000</v>
      </c>
    </row>
    <row r="14" spans="1:16" x14ac:dyDescent="0.25">
      <c r="C14" t="s">
        <v>99</v>
      </c>
      <c r="D14" s="20">
        <v>360000</v>
      </c>
    </row>
    <row r="15" spans="1:16" x14ac:dyDescent="0.25">
      <c r="A15" t="s">
        <v>57</v>
      </c>
      <c r="D15" s="20">
        <v>8913445.0899999999</v>
      </c>
    </row>
    <row r="16" spans="1:16" x14ac:dyDescent="0.25">
      <c r="B16" t="s">
        <v>23</v>
      </c>
      <c r="D16" s="20">
        <v>1022712</v>
      </c>
    </row>
    <row r="17" spans="1:4" x14ac:dyDescent="0.25">
      <c r="C17" t="s">
        <v>8</v>
      </c>
      <c r="D17" s="20">
        <v>1022712</v>
      </c>
    </row>
    <row r="18" spans="1:4" x14ac:dyDescent="0.25">
      <c r="B18" t="s">
        <v>55</v>
      </c>
      <c r="D18" s="20">
        <v>29144</v>
      </c>
    </row>
    <row r="19" spans="1:4" x14ac:dyDescent="0.25">
      <c r="C19" t="s">
        <v>7</v>
      </c>
      <c r="D19" s="20">
        <v>29144</v>
      </c>
    </row>
    <row r="20" spans="1:4" x14ac:dyDescent="0.25">
      <c r="B20" t="s">
        <v>101</v>
      </c>
      <c r="D20" s="20">
        <v>7400000</v>
      </c>
    </row>
    <row r="21" spans="1:4" x14ac:dyDescent="0.25">
      <c r="C21" t="s">
        <v>96</v>
      </c>
      <c r="D21" s="20">
        <v>7400000</v>
      </c>
    </row>
    <row r="22" spans="1:4" x14ac:dyDescent="0.25">
      <c r="B22" t="s">
        <v>29</v>
      </c>
      <c r="D22" s="20">
        <v>461589.09</v>
      </c>
    </row>
    <row r="23" spans="1:4" x14ac:dyDescent="0.25">
      <c r="C23" t="s">
        <v>6</v>
      </c>
      <c r="D23" s="20">
        <v>126686.01000000001</v>
      </c>
    </row>
    <row r="24" spans="1:4" x14ac:dyDescent="0.25">
      <c r="C24" t="s">
        <v>7</v>
      </c>
      <c r="D24" s="20">
        <v>334903.08</v>
      </c>
    </row>
    <row r="25" spans="1:4" x14ac:dyDescent="0.25">
      <c r="A25" t="s">
        <v>107</v>
      </c>
      <c r="D25" s="20">
        <v>23402947.09</v>
      </c>
    </row>
  </sheetData>
  <mergeCells count="1">
    <mergeCell ref="A4:B4"/>
  </mergeCells>
  <pageMargins left="0.7" right="0.7" top="0.75" bottom="0.75" header="0.3" footer="0.3"/>
  <pageSetup paperSize="9" orientation="portrait"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M44"/>
  <sheetViews>
    <sheetView topLeftCell="C1" workbookViewId="0">
      <selection activeCell="H7" sqref="H7"/>
    </sheetView>
  </sheetViews>
  <sheetFormatPr defaultRowHeight="15" x14ac:dyDescent="0.25"/>
  <cols>
    <col min="1" max="1" width="38.28515625" customWidth="1"/>
    <col min="2" max="2" width="21.28515625" customWidth="1"/>
    <col min="3" max="3" width="25.7109375" customWidth="1"/>
    <col min="4" max="4" width="30.7109375" bestFit="1" customWidth="1"/>
    <col min="5" max="19" width="27.7109375" bestFit="1" customWidth="1"/>
    <col min="20" max="20" width="25.5703125" customWidth="1"/>
    <col min="21" max="21" width="25.28515625" customWidth="1"/>
    <col min="22" max="22" width="32.42578125" customWidth="1"/>
    <col min="23" max="31" width="6" customWidth="1"/>
    <col min="32" max="34" width="7" customWidth="1"/>
    <col min="35" max="36" width="8" customWidth="1"/>
    <col min="37" max="37" width="11.85546875" customWidth="1"/>
    <col min="38" max="45" width="27.7109375" bestFit="1" customWidth="1"/>
    <col min="46" max="48" width="27.7109375" customWidth="1"/>
    <col min="49" max="63" width="27.7109375" bestFit="1" customWidth="1"/>
    <col min="64" max="64" width="27" bestFit="1" customWidth="1"/>
    <col min="65" max="65" width="27.140625" bestFit="1" customWidth="1"/>
    <col min="66" max="66" width="34.140625" bestFit="1" customWidth="1"/>
    <col min="67" max="75" width="27.7109375" bestFit="1" customWidth="1"/>
    <col min="76" max="78" width="27.7109375" customWidth="1"/>
    <col min="79" max="81" width="27.7109375" bestFit="1" customWidth="1"/>
    <col min="82" max="82" width="27" bestFit="1" customWidth="1"/>
    <col min="83" max="83" width="27.140625" bestFit="1" customWidth="1"/>
    <col min="84" max="84" width="34.140625" bestFit="1" customWidth="1"/>
    <col min="85" max="93" width="27.7109375" bestFit="1" customWidth="1"/>
    <col min="94" max="94" width="27" bestFit="1" customWidth="1"/>
    <col min="95" max="95" width="27.140625" bestFit="1" customWidth="1"/>
    <col min="96" max="96" width="34.140625" bestFit="1" customWidth="1"/>
  </cols>
  <sheetData>
    <row r="1" spans="1:13" x14ac:dyDescent="0.25">
      <c r="A1" s="8" t="s">
        <v>17</v>
      </c>
      <c r="B1" t="s">
        <v>86</v>
      </c>
      <c r="C1" s="10"/>
      <c r="D1" s="10"/>
    </row>
    <row r="2" spans="1:13" x14ac:dyDescent="0.25">
      <c r="C2" s="10"/>
      <c r="D2" s="10"/>
    </row>
    <row r="3" spans="1:13" x14ac:dyDescent="0.25">
      <c r="E3" s="8" t="s">
        <v>0</v>
      </c>
      <c r="F3" s="8" t="s">
        <v>58</v>
      </c>
    </row>
    <row r="4" spans="1:13" x14ac:dyDescent="0.25">
      <c r="E4" t="s">
        <v>10</v>
      </c>
      <c r="H4" t="s">
        <v>11</v>
      </c>
      <c r="K4" t="s">
        <v>39</v>
      </c>
    </row>
    <row r="5" spans="1:13" x14ac:dyDescent="0.25">
      <c r="A5" s="8" t="s">
        <v>59</v>
      </c>
      <c r="B5" s="8" t="s">
        <v>60</v>
      </c>
      <c r="C5" s="8" t="s">
        <v>1</v>
      </c>
      <c r="D5" s="8" t="s">
        <v>16</v>
      </c>
      <c r="E5" t="s">
        <v>54</v>
      </c>
      <c r="F5" t="s">
        <v>52</v>
      </c>
      <c r="G5" t="s">
        <v>53</v>
      </c>
      <c r="H5" t="s">
        <v>54</v>
      </c>
      <c r="I5" t="s">
        <v>52</v>
      </c>
      <c r="J5" t="s">
        <v>53</v>
      </c>
      <c r="K5" t="s">
        <v>54</v>
      </c>
      <c r="L5" t="s">
        <v>52</v>
      </c>
      <c r="M5" t="s">
        <v>53</v>
      </c>
    </row>
    <row r="6" spans="1:13" x14ac:dyDescent="0.25">
      <c r="A6" t="s">
        <v>56</v>
      </c>
      <c r="E6" s="15">
        <v>11198</v>
      </c>
      <c r="F6" s="15">
        <v>21478953</v>
      </c>
      <c r="G6" s="15">
        <v>21467755</v>
      </c>
      <c r="H6" s="15">
        <v>0</v>
      </c>
      <c r="I6" s="15">
        <v>19949767</v>
      </c>
      <c r="J6" s="15">
        <v>19949767</v>
      </c>
      <c r="K6" s="15">
        <v>1933831</v>
      </c>
      <c r="L6" s="15">
        <v>26960499</v>
      </c>
      <c r="M6" s="15">
        <v>25026668</v>
      </c>
    </row>
    <row r="7" spans="1:13" x14ac:dyDescent="0.25">
      <c r="B7" t="s">
        <v>85</v>
      </c>
      <c r="E7" s="15">
        <v>11198</v>
      </c>
      <c r="F7" s="15">
        <v>1717472</v>
      </c>
      <c r="G7" s="15">
        <v>1706274</v>
      </c>
      <c r="H7" s="15">
        <v>0</v>
      </c>
      <c r="I7" s="15">
        <v>1180</v>
      </c>
      <c r="J7" s="15">
        <v>1180</v>
      </c>
      <c r="K7" s="15">
        <v>1933831</v>
      </c>
      <c r="L7" s="15">
        <v>0</v>
      </c>
      <c r="M7" s="15">
        <v>-1933831</v>
      </c>
    </row>
    <row r="8" spans="1:13" x14ac:dyDescent="0.25">
      <c r="C8" t="s">
        <v>4</v>
      </c>
      <c r="E8" s="15">
        <v>11198</v>
      </c>
      <c r="F8" s="15">
        <v>1717472</v>
      </c>
      <c r="G8" s="15">
        <v>1706274</v>
      </c>
      <c r="H8" s="15">
        <v>0</v>
      </c>
      <c r="I8" s="15">
        <v>1180</v>
      </c>
      <c r="J8" s="15">
        <v>1180</v>
      </c>
      <c r="K8" s="15">
        <v>1933831</v>
      </c>
      <c r="L8" s="15">
        <v>0</v>
      </c>
      <c r="M8" s="15">
        <v>-1933831</v>
      </c>
    </row>
    <row r="9" spans="1:13" x14ac:dyDescent="0.25">
      <c r="D9" t="s">
        <v>25</v>
      </c>
      <c r="E9" s="15">
        <v>0</v>
      </c>
      <c r="F9" s="15">
        <v>1243814</v>
      </c>
      <c r="G9" s="15">
        <v>1243814</v>
      </c>
      <c r="H9" s="15"/>
      <c r="I9" s="15"/>
      <c r="J9" s="15"/>
      <c r="K9" s="15">
        <v>1933831</v>
      </c>
      <c r="L9" s="15">
        <v>0</v>
      </c>
      <c r="M9" s="15">
        <v>-1933831</v>
      </c>
    </row>
    <row r="10" spans="1:13" x14ac:dyDescent="0.25">
      <c r="D10" t="s">
        <v>37</v>
      </c>
      <c r="E10" s="15"/>
      <c r="F10" s="15"/>
      <c r="G10" s="15"/>
      <c r="H10" s="15">
        <v>0</v>
      </c>
      <c r="I10" s="15">
        <v>1180</v>
      </c>
      <c r="J10" s="15">
        <v>1180</v>
      </c>
      <c r="K10" s="15"/>
      <c r="L10" s="15"/>
      <c r="M10" s="15"/>
    </row>
    <row r="11" spans="1:13" x14ac:dyDescent="0.25">
      <c r="D11" t="s">
        <v>36</v>
      </c>
      <c r="E11" s="15">
        <v>11198</v>
      </c>
      <c r="F11" s="15">
        <v>270379</v>
      </c>
      <c r="G11" s="15">
        <v>259181</v>
      </c>
      <c r="H11" s="15"/>
      <c r="I11" s="15"/>
      <c r="J11" s="15"/>
      <c r="K11" s="15"/>
      <c r="L11" s="15"/>
      <c r="M11" s="15"/>
    </row>
    <row r="12" spans="1:13" x14ac:dyDescent="0.25">
      <c r="D12" t="s">
        <v>34</v>
      </c>
      <c r="E12" s="15">
        <v>0</v>
      </c>
      <c r="F12" s="15">
        <v>203279</v>
      </c>
      <c r="G12" s="15">
        <v>203279</v>
      </c>
      <c r="H12" s="15"/>
      <c r="I12" s="15"/>
      <c r="J12" s="15"/>
      <c r="K12" s="15"/>
      <c r="L12" s="15"/>
      <c r="M12" s="15"/>
    </row>
    <row r="13" spans="1:13" x14ac:dyDescent="0.25">
      <c r="B13" t="s">
        <v>71</v>
      </c>
      <c r="E13" s="15">
        <v>0</v>
      </c>
      <c r="F13" s="15">
        <v>58481</v>
      </c>
      <c r="G13" s="15">
        <v>58481</v>
      </c>
      <c r="H13" s="15">
        <v>0</v>
      </c>
      <c r="I13" s="15">
        <v>45587</v>
      </c>
      <c r="J13" s="15">
        <v>45587</v>
      </c>
      <c r="K13" s="15"/>
      <c r="L13" s="15"/>
      <c r="M13" s="15"/>
    </row>
    <row r="14" spans="1:13" x14ac:dyDescent="0.25">
      <c r="C14" t="s">
        <v>3</v>
      </c>
      <c r="E14" s="15">
        <v>0</v>
      </c>
      <c r="F14" s="15">
        <v>58481</v>
      </c>
      <c r="G14" s="15">
        <v>58481</v>
      </c>
      <c r="H14" s="15">
        <v>0</v>
      </c>
      <c r="I14" s="15">
        <v>45587</v>
      </c>
      <c r="J14" s="15">
        <v>45587</v>
      </c>
      <c r="K14" s="15"/>
      <c r="L14" s="15"/>
      <c r="M14" s="15"/>
    </row>
    <row r="15" spans="1:13" x14ac:dyDescent="0.25">
      <c r="D15" t="s">
        <v>34</v>
      </c>
      <c r="E15" s="15">
        <v>0</v>
      </c>
      <c r="F15" s="15">
        <v>58481</v>
      </c>
      <c r="G15" s="15">
        <v>58481</v>
      </c>
      <c r="H15" s="15">
        <v>0</v>
      </c>
      <c r="I15" s="15">
        <v>45587</v>
      </c>
      <c r="J15" s="15">
        <v>45587</v>
      </c>
      <c r="K15" s="15"/>
      <c r="L15" s="15"/>
      <c r="M15" s="15"/>
    </row>
    <row r="16" spans="1:13" x14ac:dyDescent="0.25">
      <c r="B16" t="s">
        <v>101</v>
      </c>
      <c r="E16" s="15">
        <v>0</v>
      </c>
      <c r="F16" s="15">
        <v>19703000</v>
      </c>
      <c r="G16" s="15">
        <v>19703000</v>
      </c>
      <c r="H16" s="15">
        <v>0</v>
      </c>
      <c r="I16" s="15">
        <v>19903000</v>
      </c>
      <c r="J16" s="15">
        <v>19903000</v>
      </c>
      <c r="K16" s="15">
        <v>0</v>
      </c>
      <c r="L16" s="15">
        <v>26960499</v>
      </c>
      <c r="M16" s="15">
        <v>26960499</v>
      </c>
    </row>
    <row r="17" spans="1:13" x14ac:dyDescent="0.25">
      <c r="C17" t="s">
        <v>100</v>
      </c>
      <c r="E17" s="15"/>
      <c r="F17" s="15"/>
      <c r="G17" s="15"/>
      <c r="H17" s="15"/>
      <c r="I17" s="15"/>
      <c r="J17" s="15"/>
      <c r="K17" s="15">
        <v>0</v>
      </c>
      <c r="L17" s="15">
        <v>4499</v>
      </c>
      <c r="M17" s="15">
        <v>4499</v>
      </c>
    </row>
    <row r="18" spans="1:13" x14ac:dyDescent="0.25">
      <c r="D18" t="s">
        <v>34</v>
      </c>
      <c r="E18" s="15"/>
      <c r="F18" s="15"/>
      <c r="G18" s="15"/>
      <c r="H18" s="15"/>
      <c r="I18" s="15"/>
      <c r="J18" s="15"/>
      <c r="K18" s="15">
        <v>0</v>
      </c>
      <c r="L18" s="15">
        <v>4499</v>
      </c>
      <c r="M18" s="15">
        <v>4499</v>
      </c>
    </row>
    <row r="19" spans="1:13" x14ac:dyDescent="0.25">
      <c r="C19" t="s">
        <v>95</v>
      </c>
      <c r="E19" s="15">
        <v>0</v>
      </c>
      <c r="F19" s="15">
        <v>7500000</v>
      </c>
      <c r="G19" s="15">
        <v>7500000</v>
      </c>
      <c r="H19" s="15">
        <v>0</v>
      </c>
      <c r="I19" s="15">
        <v>4153000</v>
      </c>
      <c r="J19" s="15">
        <v>4153000</v>
      </c>
      <c r="K19" s="15">
        <v>0</v>
      </c>
      <c r="L19" s="15">
        <v>2246000</v>
      </c>
      <c r="M19" s="15">
        <v>2246000</v>
      </c>
    </row>
    <row r="20" spans="1:13" x14ac:dyDescent="0.25">
      <c r="D20" t="s">
        <v>34</v>
      </c>
      <c r="E20" s="15">
        <v>0</v>
      </c>
      <c r="F20" s="15">
        <v>7500000</v>
      </c>
      <c r="G20" s="15">
        <v>7500000</v>
      </c>
      <c r="H20" s="15">
        <v>0</v>
      </c>
      <c r="I20" s="15">
        <v>4153000</v>
      </c>
      <c r="J20" s="15">
        <v>4153000</v>
      </c>
      <c r="K20" s="15">
        <v>0</v>
      </c>
      <c r="L20" s="15">
        <v>2246000</v>
      </c>
      <c r="M20" s="15">
        <v>2246000</v>
      </c>
    </row>
    <row r="21" spans="1:13" x14ac:dyDescent="0.25">
      <c r="C21" t="s">
        <v>97</v>
      </c>
      <c r="E21" s="15">
        <v>0</v>
      </c>
      <c r="F21" s="15">
        <v>10978000</v>
      </c>
      <c r="G21" s="15">
        <v>10978000</v>
      </c>
      <c r="H21" s="15">
        <v>0</v>
      </c>
      <c r="I21" s="15">
        <v>14750000</v>
      </c>
      <c r="J21" s="15">
        <v>14750000</v>
      </c>
      <c r="K21" s="15">
        <v>0</v>
      </c>
      <c r="L21" s="15">
        <v>23510000</v>
      </c>
      <c r="M21" s="15">
        <v>23510000</v>
      </c>
    </row>
    <row r="22" spans="1:13" x14ac:dyDescent="0.25">
      <c r="D22" t="s">
        <v>98</v>
      </c>
      <c r="E22" s="15">
        <v>0</v>
      </c>
      <c r="F22" s="15">
        <v>10978000</v>
      </c>
      <c r="G22" s="15">
        <v>10978000</v>
      </c>
      <c r="H22" s="15">
        <v>0</v>
      </c>
      <c r="I22" s="15">
        <v>14750000</v>
      </c>
      <c r="J22" s="15">
        <v>14750000</v>
      </c>
      <c r="K22" s="15">
        <v>0</v>
      </c>
      <c r="L22" s="15">
        <v>23510000</v>
      </c>
      <c r="M22" s="15">
        <v>23510000</v>
      </c>
    </row>
    <row r="23" spans="1:13" x14ac:dyDescent="0.25">
      <c r="C23" t="s">
        <v>99</v>
      </c>
      <c r="E23" s="15">
        <v>0</v>
      </c>
      <c r="F23" s="15">
        <v>1225000</v>
      </c>
      <c r="G23" s="15">
        <v>1225000</v>
      </c>
      <c r="H23" s="15">
        <v>0</v>
      </c>
      <c r="I23" s="15">
        <v>1000000</v>
      </c>
      <c r="J23" s="15">
        <v>1000000</v>
      </c>
      <c r="K23" s="15">
        <v>0</v>
      </c>
      <c r="L23" s="15">
        <v>1200000</v>
      </c>
      <c r="M23" s="15">
        <v>1200000</v>
      </c>
    </row>
    <row r="24" spans="1:13" x14ac:dyDescent="0.25">
      <c r="D24" t="s">
        <v>34</v>
      </c>
      <c r="E24" s="15">
        <v>0</v>
      </c>
      <c r="F24" s="15">
        <v>1225000</v>
      </c>
      <c r="G24" s="15">
        <v>1225000</v>
      </c>
      <c r="H24" s="15">
        <v>0</v>
      </c>
      <c r="I24" s="15">
        <v>1000000</v>
      </c>
      <c r="J24" s="15">
        <v>1000000</v>
      </c>
      <c r="K24" s="15">
        <v>0</v>
      </c>
      <c r="L24" s="15">
        <v>1200000</v>
      </c>
      <c r="M24" s="15">
        <v>1200000</v>
      </c>
    </row>
    <row r="25" spans="1:13" x14ac:dyDescent="0.25">
      <c r="A25" t="s">
        <v>57</v>
      </c>
      <c r="E25" s="15">
        <v>1182716</v>
      </c>
      <c r="F25" s="15">
        <v>9415934</v>
      </c>
      <c r="G25" s="15">
        <v>8233218</v>
      </c>
      <c r="H25" s="15">
        <v>1524406</v>
      </c>
      <c r="I25" s="15">
        <v>4193010</v>
      </c>
      <c r="J25" s="15">
        <v>2668604</v>
      </c>
      <c r="K25" s="15">
        <v>1524406</v>
      </c>
      <c r="L25" s="15">
        <v>595000</v>
      </c>
      <c r="M25" s="15">
        <v>-929406</v>
      </c>
    </row>
    <row r="26" spans="1:13" x14ac:dyDescent="0.25">
      <c r="B26" t="s">
        <v>23</v>
      </c>
      <c r="E26" s="15">
        <v>0</v>
      </c>
      <c r="F26" s="15">
        <v>186310</v>
      </c>
      <c r="G26" s="15">
        <v>186310</v>
      </c>
      <c r="H26" s="15">
        <v>0</v>
      </c>
      <c r="I26" s="15">
        <v>40010</v>
      </c>
      <c r="J26" s="15">
        <v>40010</v>
      </c>
      <c r="K26" s="15"/>
      <c r="L26" s="15"/>
      <c r="M26" s="15"/>
    </row>
    <row r="27" spans="1:13" x14ac:dyDescent="0.25">
      <c r="C27" t="s">
        <v>8</v>
      </c>
      <c r="E27" s="15">
        <v>0</v>
      </c>
      <c r="F27" s="15">
        <v>186310</v>
      </c>
      <c r="G27" s="15">
        <v>186310</v>
      </c>
      <c r="H27" s="15">
        <v>0</v>
      </c>
      <c r="I27" s="15">
        <v>40010</v>
      </c>
      <c r="J27" s="15">
        <v>40010</v>
      </c>
      <c r="K27" s="15"/>
      <c r="L27" s="15"/>
      <c r="M27" s="15"/>
    </row>
    <row r="28" spans="1:13" x14ac:dyDescent="0.25">
      <c r="D28" t="s">
        <v>34</v>
      </c>
      <c r="E28" s="15">
        <v>0</v>
      </c>
      <c r="F28" s="15">
        <v>186310</v>
      </c>
      <c r="G28" s="15">
        <v>186310</v>
      </c>
      <c r="H28" s="15">
        <v>0</v>
      </c>
      <c r="I28" s="15">
        <v>40010</v>
      </c>
      <c r="J28" s="15">
        <v>40010</v>
      </c>
      <c r="K28" s="15"/>
      <c r="L28" s="15"/>
      <c r="M28" s="15"/>
    </row>
    <row r="29" spans="1:13" x14ac:dyDescent="0.25">
      <c r="B29" t="s">
        <v>55</v>
      </c>
      <c r="E29" s="15">
        <v>8310</v>
      </c>
      <c r="F29" s="15">
        <v>0</v>
      </c>
      <c r="G29" s="15">
        <v>-8310</v>
      </c>
      <c r="H29" s="15">
        <v>1079406</v>
      </c>
      <c r="I29" s="15">
        <v>0</v>
      </c>
      <c r="J29" s="15">
        <v>-1079406</v>
      </c>
      <c r="K29" s="15">
        <v>350000</v>
      </c>
      <c r="L29" s="15">
        <v>0</v>
      </c>
      <c r="M29" s="15">
        <v>-350000</v>
      </c>
    </row>
    <row r="30" spans="1:13" x14ac:dyDescent="0.25">
      <c r="C30" t="s">
        <v>7</v>
      </c>
      <c r="E30" s="15">
        <v>8310</v>
      </c>
      <c r="F30" s="15">
        <v>0</v>
      </c>
      <c r="G30" s="15">
        <v>-8310</v>
      </c>
      <c r="H30" s="15">
        <v>1079406</v>
      </c>
      <c r="I30" s="15">
        <v>0</v>
      </c>
      <c r="J30" s="15">
        <v>-1079406</v>
      </c>
      <c r="K30" s="15">
        <v>350000</v>
      </c>
      <c r="L30" s="15">
        <v>0</v>
      </c>
      <c r="M30" s="15">
        <v>-350000</v>
      </c>
    </row>
    <row r="31" spans="1:13" x14ac:dyDescent="0.25">
      <c r="D31" t="s">
        <v>27</v>
      </c>
      <c r="E31" s="15">
        <v>8310</v>
      </c>
      <c r="F31" s="15">
        <v>0</v>
      </c>
      <c r="G31" s="15">
        <v>-8310</v>
      </c>
      <c r="H31" s="15"/>
      <c r="I31" s="15"/>
      <c r="J31" s="15"/>
      <c r="K31" s="15"/>
      <c r="L31" s="15"/>
      <c r="M31" s="15"/>
    </row>
    <row r="32" spans="1:13" x14ac:dyDescent="0.25">
      <c r="D32" t="s">
        <v>38</v>
      </c>
      <c r="E32" s="15"/>
      <c r="F32" s="15"/>
      <c r="G32" s="15"/>
      <c r="H32" s="15">
        <v>1079406</v>
      </c>
      <c r="I32" s="15">
        <v>0</v>
      </c>
      <c r="J32" s="15">
        <v>-1079406</v>
      </c>
      <c r="K32" s="15">
        <v>350000</v>
      </c>
      <c r="L32" s="15">
        <v>0</v>
      </c>
      <c r="M32" s="15">
        <v>-350000</v>
      </c>
    </row>
    <row r="33" spans="2:13" x14ac:dyDescent="0.25">
      <c r="B33" t="s">
        <v>101</v>
      </c>
      <c r="E33" s="15">
        <v>0</v>
      </c>
      <c r="F33" s="15">
        <v>7500000</v>
      </c>
      <c r="G33" s="15">
        <v>7500000</v>
      </c>
      <c r="H33" s="15">
        <v>0</v>
      </c>
      <c r="I33" s="15">
        <v>4153000</v>
      </c>
      <c r="J33" s="15">
        <v>4153000</v>
      </c>
      <c r="K33" s="15">
        <v>0</v>
      </c>
      <c r="L33" s="15">
        <v>595000</v>
      </c>
      <c r="M33" s="15">
        <v>595000</v>
      </c>
    </row>
    <row r="34" spans="2:13" x14ac:dyDescent="0.25">
      <c r="C34" t="s">
        <v>96</v>
      </c>
      <c r="E34" s="15">
        <v>0</v>
      </c>
      <c r="F34" s="15">
        <v>7500000</v>
      </c>
      <c r="G34" s="15">
        <v>7500000</v>
      </c>
      <c r="H34" s="15">
        <v>0</v>
      </c>
      <c r="I34" s="15">
        <v>4153000</v>
      </c>
      <c r="J34" s="15">
        <v>4153000</v>
      </c>
      <c r="K34" s="15">
        <v>0</v>
      </c>
      <c r="L34" s="15">
        <v>595000</v>
      </c>
      <c r="M34" s="15">
        <v>595000</v>
      </c>
    </row>
    <row r="35" spans="2:13" x14ac:dyDescent="0.25">
      <c r="D35" t="s">
        <v>34</v>
      </c>
      <c r="E35" s="15">
        <v>0</v>
      </c>
      <c r="F35" s="15">
        <v>7500000</v>
      </c>
      <c r="G35" s="15">
        <v>7500000</v>
      </c>
      <c r="H35" s="15">
        <v>0</v>
      </c>
      <c r="I35" s="15">
        <v>4153000</v>
      </c>
      <c r="J35" s="15">
        <v>4153000</v>
      </c>
      <c r="K35" s="15">
        <v>0</v>
      </c>
      <c r="L35" s="15">
        <v>595000</v>
      </c>
      <c r="M35" s="15">
        <v>595000</v>
      </c>
    </row>
    <row r="36" spans="2:13" x14ac:dyDescent="0.25">
      <c r="B36" t="s">
        <v>29</v>
      </c>
      <c r="E36" s="15">
        <v>1174406</v>
      </c>
      <c r="F36" s="15">
        <v>1729624</v>
      </c>
      <c r="G36" s="15">
        <v>555218</v>
      </c>
      <c r="H36" s="15">
        <v>445000</v>
      </c>
      <c r="I36" s="15">
        <v>0</v>
      </c>
      <c r="J36" s="15">
        <v>-445000</v>
      </c>
      <c r="K36" s="15">
        <v>1174406</v>
      </c>
      <c r="L36" s="15">
        <v>0</v>
      </c>
      <c r="M36" s="15">
        <v>-1174406</v>
      </c>
    </row>
    <row r="37" spans="2:13" x14ac:dyDescent="0.25">
      <c r="C37" t="s">
        <v>6</v>
      </c>
      <c r="E37" s="15">
        <v>95000</v>
      </c>
      <c r="F37" s="15">
        <v>370554</v>
      </c>
      <c r="G37" s="15">
        <v>275554</v>
      </c>
      <c r="H37" s="15">
        <v>95000</v>
      </c>
      <c r="I37" s="15">
        <v>0</v>
      </c>
      <c r="J37" s="15">
        <v>-95000</v>
      </c>
      <c r="K37" s="15">
        <v>95000</v>
      </c>
      <c r="L37" s="15">
        <v>0</v>
      </c>
      <c r="M37" s="15">
        <v>-95000</v>
      </c>
    </row>
    <row r="38" spans="2:13" x14ac:dyDescent="0.25">
      <c r="D38" t="s">
        <v>30</v>
      </c>
      <c r="E38" s="15">
        <v>0</v>
      </c>
      <c r="F38" s="15">
        <v>15374</v>
      </c>
      <c r="G38" s="15">
        <v>15374</v>
      </c>
      <c r="H38" s="15"/>
      <c r="I38" s="15"/>
      <c r="J38" s="15"/>
      <c r="K38" s="15"/>
      <c r="L38" s="15"/>
      <c r="M38" s="15"/>
    </row>
    <row r="39" spans="2:13" x14ac:dyDescent="0.25">
      <c r="D39" t="s">
        <v>35</v>
      </c>
      <c r="E39" s="15">
        <v>95000</v>
      </c>
      <c r="F39" s="15">
        <v>0</v>
      </c>
      <c r="G39" s="15">
        <v>-95000</v>
      </c>
      <c r="H39" s="15">
        <v>95000</v>
      </c>
      <c r="I39" s="15">
        <v>0</v>
      </c>
      <c r="J39" s="15">
        <v>-95000</v>
      </c>
      <c r="K39" s="15">
        <v>95000</v>
      </c>
      <c r="L39" s="15">
        <v>0</v>
      </c>
      <c r="M39" s="15">
        <v>-95000</v>
      </c>
    </row>
    <row r="40" spans="2:13" x14ac:dyDescent="0.25">
      <c r="D40" t="s">
        <v>31</v>
      </c>
      <c r="E40" s="15">
        <v>0</v>
      </c>
      <c r="F40" s="15">
        <v>350000</v>
      </c>
      <c r="G40" s="15">
        <v>350000</v>
      </c>
      <c r="H40" s="15"/>
      <c r="I40" s="15"/>
      <c r="J40" s="15"/>
      <c r="K40" s="15"/>
      <c r="L40" s="15"/>
      <c r="M40" s="15"/>
    </row>
    <row r="41" spans="2:13" x14ac:dyDescent="0.25">
      <c r="D41" t="s">
        <v>32</v>
      </c>
      <c r="E41" s="15">
        <v>0</v>
      </c>
      <c r="F41" s="15">
        <v>5180</v>
      </c>
      <c r="G41" s="15">
        <v>5180</v>
      </c>
      <c r="H41" s="15"/>
      <c r="I41" s="15"/>
      <c r="J41" s="15"/>
      <c r="K41" s="15"/>
      <c r="L41" s="15"/>
      <c r="M41" s="15"/>
    </row>
    <row r="42" spans="2:13" x14ac:dyDescent="0.25">
      <c r="C42" t="s">
        <v>7</v>
      </c>
      <c r="E42" s="15">
        <v>1079406</v>
      </c>
      <c r="F42" s="15">
        <v>1359070</v>
      </c>
      <c r="G42" s="15">
        <v>279664</v>
      </c>
      <c r="H42" s="15">
        <v>350000</v>
      </c>
      <c r="I42" s="15">
        <v>0</v>
      </c>
      <c r="J42" s="15">
        <v>-350000</v>
      </c>
      <c r="K42" s="15">
        <v>1079406</v>
      </c>
      <c r="L42" s="15">
        <v>0</v>
      </c>
      <c r="M42" s="15">
        <v>-1079406</v>
      </c>
    </row>
    <row r="43" spans="2:13" x14ac:dyDescent="0.25">
      <c r="D43" t="s">
        <v>27</v>
      </c>
      <c r="E43" s="15">
        <v>0</v>
      </c>
      <c r="F43" s="15">
        <v>1359070</v>
      </c>
      <c r="G43" s="15">
        <v>1359070</v>
      </c>
      <c r="H43" s="15"/>
      <c r="I43" s="15"/>
      <c r="J43" s="15"/>
      <c r="K43" s="15"/>
      <c r="L43" s="15"/>
      <c r="M43" s="15"/>
    </row>
    <row r="44" spans="2:13" x14ac:dyDescent="0.25">
      <c r="D44" t="s">
        <v>33</v>
      </c>
      <c r="E44" s="15">
        <v>1079406</v>
      </c>
      <c r="F44" s="15">
        <v>0</v>
      </c>
      <c r="G44" s="15">
        <v>-1079406</v>
      </c>
      <c r="H44" s="15">
        <v>350000</v>
      </c>
      <c r="I44" s="15">
        <v>0</v>
      </c>
      <c r="J44" s="15">
        <v>-350000</v>
      </c>
      <c r="K44" s="15">
        <v>1079406</v>
      </c>
      <c r="L44" s="15">
        <v>0</v>
      </c>
      <c r="M44" s="15">
        <v>-1079406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mdGenerateReport">
          <controlPr defaultSize="0" autoLine="0" r:id="rId5">
            <anchor moveWithCells="1">
              <from>
                <xdr:col>2</xdr:col>
                <xdr:colOff>838200</xdr:colOff>
                <xdr:row>0</xdr:row>
                <xdr:rowOff>28575</xdr:rowOff>
              </from>
              <to>
                <xdr:col>3</xdr:col>
                <xdr:colOff>800100</xdr:colOff>
                <xdr:row>1</xdr:row>
                <xdr:rowOff>133350</xdr:rowOff>
              </to>
            </anchor>
          </controlPr>
        </control>
      </mc:Choice>
      <mc:Fallback>
        <control shapeId="1025" r:id="rId4" name="cmdGenerateRepo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W15"/>
  <sheetViews>
    <sheetView topLeftCell="AB1" workbookViewId="0">
      <selection activeCell="C20" sqref="C20"/>
    </sheetView>
  </sheetViews>
  <sheetFormatPr defaultRowHeight="15" x14ac:dyDescent="0.25"/>
  <cols>
    <col min="1" max="1" width="34.42578125" bestFit="1" customWidth="1"/>
    <col min="2" max="2" width="18.7109375" bestFit="1" customWidth="1"/>
    <col min="3" max="4" width="27.7109375" bestFit="1" customWidth="1"/>
    <col min="5" max="12" width="27.7109375" customWidth="1"/>
    <col min="13" max="13" width="27.7109375" bestFit="1" customWidth="1"/>
    <col min="14" max="14" width="27.7109375" customWidth="1"/>
    <col min="15" max="47" width="27.7109375" bestFit="1" customWidth="1"/>
  </cols>
  <sheetData>
    <row r="1" spans="1:23" x14ac:dyDescent="0.25">
      <c r="A1" s="8" t="s">
        <v>17</v>
      </c>
      <c r="B1" t="s">
        <v>28</v>
      </c>
    </row>
    <row r="3" spans="1:23" x14ac:dyDescent="0.25">
      <c r="C3" s="8" t="s">
        <v>70</v>
      </c>
      <c r="D3" s="8" t="s">
        <v>58</v>
      </c>
    </row>
    <row r="4" spans="1:23" x14ac:dyDescent="0.25">
      <c r="C4" t="s">
        <v>102</v>
      </c>
      <c r="F4" t="s">
        <v>103</v>
      </c>
      <c r="I4" t="s">
        <v>104</v>
      </c>
      <c r="L4" t="s">
        <v>91</v>
      </c>
      <c r="O4" t="s">
        <v>92</v>
      </c>
      <c r="R4" t="s">
        <v>93</v>
      </c>
      <c r="U4" t="s">
        <v>106</v>
      </c>
    </row>
    <row r="5" spans="1:23" x14ac:dyDescent="0.25">
      <c r="A5" s="8" t="s">
        <v>1</v>
      </c>
      <c r="B5" s="8" t="s">
        <v>16</v>
      </c>
      <c r="C5" t="s">
        <v>54</v>
      </c>
      <c r="D5" t="s">
        <v>52</v>
      </c>
      <c r="E5" t="s">
        <v>53</v>
      </c>
      <c r="F5" t="s">
        <v>54</v>
      </c>
      <c r="G5" t="s">
        <v>52</v>
      </c>
      <c r="H5" t="s">
        <v>53</v>
      </c>
      <c r="I5" t="s">
        <v>54</v>
      </c>
      <c r="J5" t="s">
        <v>52</v>
      </c>
      <c r="K5" t="s">
        <v>53</v>
      </c>
      <c r="L5" t="s">
        <v>54</v>
      </c>
      <c r="M5" t="s">
        <v>52</v>
      </c>
      <c r="N5" t="s">
        <v>53</v>
      </c>
      <c r="O5" t="s">
        <v>54</v>
      </c>
      <c r="P5" t="s">
        <v>52</v>
      </c>
      <c r="Q5" t="s">
        <v>53</v>
      </c>
      <c r="R5" t="s">
        <v>54</v>
      </c>
      <c r="S5" t="s">
        <v>52</v>
      </c>
      <c r="T5" t="s">
        <v>53</v>
      </c>
      <c r="U5" t="s">
        <v>54</v>
      </c>
      <c r="V5" t="s">
        <v>52</v>
      </c>
      <c r="W5" t="s">
        <v>53</v>
      </c>
    </row>
    <row r="6" spans="1:23" x14ac:dyDescent="0.25">
      <c r="A6" t="s">
        <v>100</v>
      </c>
      <c r="C6" s="20">
        <v>0</v>
      </c>
      <c r="D6" s="20">
        <v>0</v>
      </c>
      <c r="E6" s="20">
        <v>0</v>
      </c>
      <c r="F6" s="20">
        <v>0</v>
      </c>
      <c r="G6" s="20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-4499</v>
      </c>
      <c r="N6" s="20">
        <v>-4499</v>
      </c>
      <c r="O6" s="20">
        <v>0</v>
      </c>
      <c r="P6" s="20">
        <v>-4499</v>
      </c>
      <c r="Q6" s="20">
        <v>-4499</v>
      </c>
      <c r="R6" s="20">
        <v>0</v>
      </c>
      <c r="S6" s="20">
        <v>-4499</v>
      </c>
      <c r="T6" s="20">
        <v>-4499</v>
      </c>
      <c r="U6" s="20">
        <v>0</v>
      </c>
      <c r="V6" s="20">
        <v>-4499</v>
      </c>
      <c r="W6" s="20">
        <v>-4499</v>
      </c>
    </row>
    <row r="7" spans="1:23" x14ac:dyDescent="0.25">
      <c r="B7" t="s">
        <v>34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-4499</v>
      </c>
      <c r="N7" s="20">
        <v>-4499</v>
      </c>
      <c r="O7" s="20">
        <v>0</v>
      </c>
      <c r="P7" s="20">
        <v>-4499</v>
      </c>
      <c r="Q7" s="20">
        <v>-4499</v>
      </c>
      <c r="R7" s="20">
        <v>0</v>
      </c>
      <c r="S7" s="20">
        <v>-4499</v>
      </c>
      <c r="T7" s="20">
        <v>-4499</v>
      </c>
      <c r="U7" s="20">
        <v>0</v>
      </c>
      <c r="V7" s="20">
        <v>-4499</v>
      </c>
      <c r="W7" s="20">
        <v>-4499</v>
      </c>
    </row>
    <row r="8" spans="1:23" x14ac:dyDescent="0.25">
      <c r="A8" t="s">
        <v>96</v>
      </c>
      <c r="C8" s="20">
        <v>0</v>
      </c>
      <c r="D8" s="20">
        <v>2000000</v>
      </c>
      <c r="E8" s="20">
        <v>2000000</v>
      </c>
      <c r="F8" s="20">
        <v>0</v>
      </c>
      <c r="G8" s="20">
        <v>4000000</v>
      </c>
      <c r="H8" s="20">
        <v>4000000</v>
      </c>
      <c r="I8" s="20">
        <v>0</v>
      </c>
      <c r="J8" s="20">
        <v>4153000</v>
      </c>
      <c r="K8" s="20">
        <v>4153000</v>
      </c>
      <c r="L8" s="20">
        <v>0</v>
      </c>
      <c r="M8" s="20">
        <v>4638000</v>
      </c>
      <c r="N8" s="20">
        <v>4638000</v>
      </c>
      <c r="O8" s="20">
        <v>0</v>
      </c>
      <c r="P8" s="20">
        <v>4748000</v>
      </c>
      <c r="Q8" s="20">
        <v>4748000</v>
      </c>
      <c r="R8" s="20">
        <v>0</v>
      </c>
      <c r="S8" s="20">
        <v>4748000</v>
      </c>
      <c r="T8" s="20">
        <v>4748000</v>
      </c>
      <c r="U8" s="20">
        <v>0</v>
      </c>
      <c r="V8" s="20">
        <v>4748000</v>
      </c>
      <c r="W8" s="20">
        <v>4748000</v>
      </c>
    </row>
    <row r="9" spans="1:23" x14ac:dyDescent="0.25">
      <c r="B9" t="s">
        <v>34</v>
      </c>
      <c r="C9" s="20">
        <v>0</v>
      </c>
      <c r="D9" s="20">
        <v>2000000</v>
      </c>
      <c r="E9" s="20">
        <v>2000000</v>
      </c>
      <c r="F9" s="20">
        <v>0</v>
      </c>
      <c r="G9" s="20">
        <v>4000000</v>
      </c>
      <c r="H9" s="20">
        <v>4000000</v>
      </c>
      <c r="I9" s="20">
        <v>0</v>
      </c>
      <c r="J9" s="20">
        <v>4153000</v>
      </c>
      <c r="K9" s="20">
        <v>4153000</v>
      </c>
      <c r="L9" s="20">
        <v>0</v>
      </c>
      <c r="M9" s="20">
        <v>4638000</v>
      </c>
      <c r="N9" s="20">
        <v>4638000</v>
      </c>
      <c r="O9" s="20">
        <v>0</v>
      </c>
      <c r="P9" s="20">
        <v>4748000</v>
      </c>
      <c r="Q9" s="20">
        <v>4748000</v>
      </c>
      <c r="R9" s="20">
        <v>0</v>
      </c>
      <c r="S9" s="20">
        <v>4748000</v>
      </c>
      <c r="T9" s="20">
        <v>4748000</v>
      </c>
      <c r="U9" s="20">
        <v>0</v>
      </c>
      <c r="V9" s="20">
        <v>4748000</v>
      </c>
      <c r="W9" s="20">
        <v>4748000</v>
      </c>
    </row>
    <row r="10" spans="1:23" x14ac:dyDescent="0.25">
      <c r="A10" t="s">
        <v>95</v>
      </c>
      <c r="C10" s="20">
        <v>0</v>
      </c>
      <c r="D10" s="20">
        <v>-2000000</v>
      </c>
      <c r="E10" s="20">
        <v>-2000000</v>
      </c>
      <c r="F10" s="20">
        <v>0</v>
      </c>
      <c r="G10" s="20">
        <v>-4000000</v>
      </c>
      <c r="H10" s="20">
        <v>-4000000</v>
      </c>
      <c r="I10" s="20">
        <v>0</v>
      </c>
      <c r="J10" s="20">
        <v>-4153000</v>
      </c>
      <c r="K10" s="20">
        <v>-4153000</v>
      </c>
      <c r="L10" s="20">
        <v>0</v>
      </c>
      <c r="M10" s="20">
        <v>-4638000</v>
      </c>
      <c r="N10" s="20">
        <v>-4638000</v>
      </c>
      <c r="O10" s="20">
        <v>0</v>
      </c>
      <c r="P10" s="20">
        <v>-4748000</v>
      </c>
      <c r="Q10" s="20">
        <v>-4748000</v>
      </c>
      <c r="R10" s="20">
        <v>0</v>
      </c>
      <c r="S10" s="20">
        <v>-6399000</v>
      </c>
      <c r="T10" s="20">
        <v>-6399000</v>
      </c>
      <c r="U10" s="20">
        <v>0</v>
      </c>
      <c r="V10" s="20">
        <v>-6399000</v>
      </c>
      <c r="W10" s="20">
        <v>-6399000</v>
      </c>
    </row>
    <row r="11" spans="1:23" x14ac:dyDescent="0.25">
      <c r="B11" t="s">
        <v>34</v>
      </c>
      <c r="C11" s="20">
        <v>0</v>
      </c>
      <c r="D11" s="20">
        <v>-2000000</v>
      </c>
      <c r="E11" s="20">
        <v>-2000000</v>
      </c>
      <c r="F11" s="20">
        <v>0</v>
      </c>
      <c r="G11" s="20">
        <v>-4000000</v>
      </c>
      <c r="H11" s="20">
        <v>-4000000</v>
      </c>
      <c r="I11" s="20">
        <v>0</v>
      </c>
      <c r="J11" s="20">
        <v>-4153000</v>
      </c>
      <c r="K11" s="20">
        <v>-4153000</v>
      </c>
      <c r="L11" s="20">
        <v>0</v>
      </c>
      <c r="M11" s="20">
        <v>-4638000</v>
      </c>
      <c r="N11" s="20">
        <v>-4638000</v>
      </c>
      <c r="O11" s="20">
        <v>0</v>
      </c>
      <c r="P11" s="20">
        <v>-4748000</v>
      </c>
      <c r="Q11" s="20">
        <v>-4748000</v>
      </c>
      <c r="R11" s="20">
        <v>0</v>
      </c>
      <c r="S11" s="20">
        <v>-6399000</v>
      </c>
      <c r="T11" s="20">
        <v>-6399000</v>
      </c>
      <c r="U11" s="20">
        <v>0</v>
      </c>
      <c r="V11" s="20">
        <v>-6399000</v>
      </c>
      <c r="W11" s="20">
        <v>-6399000</v>
      </c>
    </row>
    <row r="12" spans="1:23" x14ac:dyDescent="0.25">
      <c r="A12" t="s">
        <v>97</v>
      </c>
      <c r="C12" s="20">
        <v>0</v>
      </c>
      <c r="D12" s="20">
        <v>-7000000</v>
      </c>
      <c r="E12" s="20">
        <v>-7000000</v>
      </c>
      <c r="F12" s="20">
        <v>0</v>
      </c>
      <c r="G12" s="20">
        <v>-11100000</v>
      </c>
      <c r="H12" s="20">
        <v>-11100000</v>
      </c>
      <c r="I12" s="20">
        <v>0</v>
      </c>
      <c r="J12" s="20">
        <v>-11100000</v>
      </c>
      <c r="K12" s="20">
        <v>-11100000</v>
      </c>
      <c r="L12" s="20">
        <v>0</v>
      </c>
      <c r="M12" s="20">
        <v>-13350000</v>
      </c>
      <c r="N12" s="20">
        <v>-13350000</v>
      </c>
      <c r="O12" s="20">
        <v>0</v>
      </c>
      <c r="P12" s="20">
        <v>-16850000</v>
      </c>
      <c r="Q12" s="20">
        <v>-16850000</v>
      </c>
      <c r="R12" s="20">
        <v>0</v>
      </c>
      <c r="S12" s="20">
        <v>-31110000</v>
      </c>
      <c r="T12" s="20">
        <v>-31110000</v>
      </c>
      <c r="U12" s="20">
        <v>0</v>
      </c>
      <c r="V12" s="20">
        <v>-34610000</v>
      </c>
      <c r="W12" s="20">
        <v>-34610000</v>
      </c>
    </row>
    <row r="13" spans="1:23" x14ac:dyDescent="0.25">
      <c r="B13" t="s">
        <v>98</v>
      </c>
      <c r="C13" s="20">
        <v>0</v>
      </c>
      <c r="D13" s="20">
        <v>-7000000</v>
      </c>
      <c r="E13" s="20">
        <v>-7000000</v>
      </c>
      <c r="F13" s="20">
        <v>0</v>
      </c>
      <c r="G13" s="20">
        <v>-11100000</v>
      </c>
      <c r="H13" s="20">
        <v>-11100000</v>
      </c>
      <c r="I13" s="20">
        <v>0</v>
      </c>
      <c r="J13" s="20">
        <v>-11100000</v>
      </c>
      <c r="K13" s="20">
        <v>-11100000</v>
      </c>
      <c r="L13" s="20">
        <v>0</v>
      </c>
      <c r="M13" s="20">
        <v>-13350000</v>
      </c>
      <c r="N13" s="20">
        <v>-13350000</v>
      </c>
      <c r="O13" s="20">
        <v>0</v>
      </c>
      <c r="P13" s="20">
        <v>-16850000</v>
      </c>
      <c r="Q13" s="20">
        <v>-16850000</v>
      </c>
      <c r="R13" s="20">
        <v>0</v>
      </c>
      <c r="S13" s="20">
        <v>-31110000</v>
      </c>
      <c r="T13" s="20">
        <v>-31110000</v>
      </c>
      <c r="U13" s="20">
        <v>0</v>
      </c>
      <c r="V13" s="20">
        <v>-34610000</v>
      </c>
      <c r="W13" s="20">
        <v>-34610000</v>
      </c>
    </row>
    <row r="14" spans="1:23" x14ac:dyDescent="0.25">
      <c r="A14" t="s">
        <v>99</v>
      </c>
      <c r="C14" s="20">
        <v>0</v>
      </c>
      <c r="D14" s="20">
        <v>-1000000</v>
      </c>
      <c r="E14" s="20">
        <v>-1000000</v>
      </c>
      <c r="F14" s="20">
        <v>0</v>
      </c>
      <c r="G14" s="20">
        <v>-1000000</v>
      </c>
      <c r="H14" s="20">
        <v>-1000000</v>
      </c>
      <c r="I14" s="20">
        <v>0</v>
      </c>
      <c r="J14" s="20">
        <v>-1000000</v>
      </c>
      <c r="K14" s="20">
        <v>-1000000</v>
      </c>
      <c r="L14" s="20">
        <v>0</v>
      </c>
      <c r="M14" s="20">
        <v>-1700000</v>
      </c>
      <c r="N14" s="20">
        <v>-1700000</v>
      </c>
      <c r="O14" s="20">
        <v>0</v>
      </c>
      <c r="P14" s="20">
        <v>-2200000</v>
      </c>
      <c r="Q14" s="20">
        <v>-2200000</v>
      </c>
      <c r="R14" s="20">
        <v>0</v>
      </c>
      <c r="S14" s="20">
        <v>-2200000</v>
      </c>
      <c r="T14" s="20">
        <v>-2200000</v>
      </c>
      <c r="U14" s="20">
        <v>0</v>
      </c>
      <c r="V14" s="20">
        <v>-2200000</v>
      </c>
      <c r="W14" s="20">
        <v>-2200000</v>
      </c>
    </row>
    <row r="15" spans="1:23" x14ac:dyDescent="0.25">
      <c r="B15" t="s">
        <v>34</v>
      </c>
      <c r="C15" s="20">
        <v>0</v>
      </c>
      <c r="D15" s="20">
        <v>-1000000</v>
      </c>
      <c r="E15" s="20">
        <v>-1000000</v>
      </c>
      <c r="F15" s="20">
        <v>0</v>
      </c>
      <c r="G15" s="20">
        <v>-1000000</v>
      </c>
      <c r="H15" s="20">
        <v>-1000000</v>
      </c>
      <c r="I15" s="20">
        <v>0</v>
      </c>
      <c r="J15" s="20">
        <v>-1000000</v>
      </c>
      <c r="K15" s="20">
        <v>-1000000</v>
      </c>
      <c r="L15" s="20">
        <v>0</v>
      </c>
      <c r="M15" s="20">
        <v>-1700000</v>
      </c>
      <c r="N15" s="20">
        <v>-1700000</v>
      </c>
      <c r="O15" s="20">
        <v>0</v>
      </c>
      <c r="P15" s="20">
        <v>-2200000</v>
      </c>
      <c r="Q15" s="20">
        <v>-2200000</v>
      </c>
      <c r="R15" s="20">
        <v>0</v>
      </c>
      <c r="S15" s="20">
        <v>-2200000</v>
      </c>
      <c r="T15" s="20">
        <v>-2200000</v>
      </c>
      <c r="U15" s="20">
        <v>0</v>
      </c>
      <c r="V15" s="20">
        <v>-2200000</v>
      </c>
      <c r="W15" s="20">
        <v>-2200000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16"/>
  <sheetViews>
    <sheetView workbookViewId="0">
      <selection activeCell="C28" sqref="C28"/>
    </sheetView>
  </sheetViews>
  <sheetFormatPr defaultRowHeight="12" x14ac:dyDescent="0.2"/>
  <cols>
    <col min="1" max="1" width="16.28515625" style="27" customWidth="1"/>
    <col min="2" max="2" width="15.5703125" style="27" customWidth="1"/>
    <col min="3" max="4" width="22.5703125" style="27" customWidth="1"/>
    <col min="5" max="14" width="22.5703125" style="27" bestFit="1" customWidth="1"/>
    <col min="15" max="17" width="27.7109375" style="27" bestFit="1" customWidth="1"/>
    <col min="18" max="16384" width="9.140625" style="27"/>
  </cols>
  <sheetData>
    <row r="1" spans="1:14" x14ac:dyDescent="0.2">
      <c r="A1" s="26" t="s">
        <v>17</v>
      </c>
      <c r="B1" s="27" t="s">
        <v>28</v>
      </c>
    </row>
    <row r="3" spans="1:14" ht="15" x14ac:dyDescent="0.25">
      <c r="C3" s="26" t="s">
        <v>0</v>
      </c>
      <c r="D3" s="26" t="s">
        <v>58</v>
      </c>
      <c r="L3"/>
      <c r="M3"/>
      <c r="N3"/>
    </row>
    <row r="4" spans="1:14" ht="15" x14ac:dyDescent="0.25">
      <c r="C4" s="27" t="s">
        <v>10</v>
      </c>
      <c r="F4" s="27" t="s">
        <v>11</v>
      </c>
      <c r="I4" s="27" t="s">
        <v>39</v>
      </c>
      <c r="L4"/>
      <c r="M4"/>
      <c r="N4"/>
    </row>
    <row r="5" spans="1:14" ht="15" x14ac:dyDescent="0.25">
      <c r="A5" s="26" t="s">
        <v>1</v>
      </c>
      <c r="B5" s="26" t="s">
        <v>16</v>
      </c>
      <c r="C5" s="27" t="s">
        <v>54</v>
      </c>
      <c r="D5" s="27" t="s">
        <v>52</v>
      </c>
      <c r="E5" s="27" t="s">
        <v>53</v>
      </c>
      <c r="F5" s="27" t="s">
        <v>54</v>
      </c>
      <c r="G5" s="27" t="s">
        <v>52</v>
      </c>
      <c r="H5" s="27" t="s">
        <v>53</v>
      </c>
      <c r="I5" s="27" t="s">
        <v>54</v>
      </c>
      <c r="J5" s="27" t="s">
        <v>52</v>
      </c>
      <c r="K5" s="27" t="s">
        <v>53</v>
      </c>
      <c r="L5"/>
      <c r="M5"/>
      <c r="N5"/>
    </row>
    <row r="6" spans="1:14" ht="15" x14ac:dyDescent="0.25">
      <c r="A6" s="27" t="s">
        <v>100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-4499</v>
      </c>
      <c r="K6" s="47">
        <v>-4499</v>
      </c>
      <c r="L6"/>
      <c r="M6"/>
      <c r="N6"/>
    </row>
    <row r="7" spans="1:14" ht="15" x14ac:dyDescent="0.25">
      <c r="B7" s="27" t="s">
        <v>34</v>
      </c>
      <c r="C7" s="47">
        <v>0</v>
      </c>
      <c r="D7" s="47">
        <v>0</v>
      </c>
      <c r="E7" s="47">
        <v>0</v>
      </c>
      <c r="F7" s="47">
        <v>0</v>
      </c>
      <c r="G7" s="47">
        <v>0</v>
      </c>
      <c r="H7" s="47">
        <v>0</v>
      </c>
      <c r="I7" s="47">
        <v>0</v>
      </c>
      <c r="J7" s="47">
        <v>-4499</v>
      </c>
      <c r="K7" s="47">
        <v>-4499</v>
      </c>
      <c r="L7"/>
      <c r="M7"/>
      <c r="N7"/>
    </row>
    <row r="8" spans="1:14" ht="15" x14ac:dyDescent="0.25">
      <c r="A8" s="27" t="s">
        <v>96</v>
      </c>
      <c r="C8" s="47">
        <v>0</v>
      </c>
      <c r="D8" s="47">
        <v>7500000</v>
      </c>
      <c r="E8" s="47">
        <v>7500000</v>
      </c>
      <c r="F8" s="47">
        <v>0</v>
      </c>
      <c r="G8" s="47">
        <v>11653000</v>
      </c>
      <c r="H8" s="47">
        <v>11653000</v>
      </c>
      <c r="I8" s="47">
        <v>0</v>
      </c>
      <c r="J8" s="47">
        <v>12248000</v>
      </c>
      <c r="K8" s="47">
        <v>12248000</v>
      </c>
      <c r="L8"/>
      <c r="M8"/>
      <c r="N8"/>
    </row>
    <row r="9" spans="1:14" ht="15" x14ac:dyDescent="0.25">
      <c r="B9" s="27" t="s">
        <v>34</v>
      </c>
      <c r="C9" s="47">
        <v>0</v>
      </c>
      <c r="D9" s="47">
        <v>7500000</v>
      </c>
      <c r="E9" s="47">
        <v>7500000</v>
      </c>
      <c r="F9" s="47">
        <v>0</v>
      </c>
      <c r="G9" s="47">
        <v>11653000</v>
      </c>
      <c r="H9" s="47">
        <v>11653000</v>
      </c>
      <c r="I9" s="47">
        <v>0</v>
      </c>
      <c r="J9" s="47">
        <v>12248000</v>
      </c>
      <c r="K9" s="47">
        <v>12248000</v>
      </c>
      <c r="L9"/>
      <c r="M9"/>
      <c r="N9"/>
    </row>
    <row r="10" spans="1:14" ht="15" x14ac:dyDescent="0.25">
      <c r="A10" s="27" t="s">
        <v>95</v>
      </c>
      <c r="C10" s="47">
        <v>0</v>
      </c>
      <c r="D10" s="47">
        <v>-7500000</v>
      </c>
      <c r="E10" s="47">
        <v>-7500000</v>
      </c>
      <c r="F10" s="47">
        <v>0</v>
      </c>
      <c r="G10" s="47">
        <v>-11653000</v>
      </c>
      <c r="H10" s="47">
        <v>-11653000</v>
      </c>
      <c r="I10" s="47">
        <v>0</v>
      </c>
      <c r="J10" s="47">
        <v>-13899000</v>
      </c>
      <c r="K10" s="47">
        <v>-13899000</v>
      </c>
      <c r="L10"/>
      <c r="M10"/>
      <c r="N10"/>
    </row>
    <row r="11" spans="1:14" ht="15" x14ac:dyDescent="0.25">
      <c r="B11" s="27" t="s">
        <v>34</v>
      </c>
      <c r="C11" s="47">
        <v>0</v>
      </c>
      <c r="D11" s="47">
        <v>-7500000</v>
      </c>
      <c r="E11" s="47">
        <v>-7500000</v>
      </c>
      <c r="F11" s="47">
        <v>0</v>
      </c>
      <c r="G11" s="47">
        <v>-11653000</v>
      </c>
      <c r="H11" s="47">
        <v>-11653000</v>
      </c>
      <c r="I11" s="47">
        <v>0</v>
      </c>
      <c r="J11" s="47">
        <v>-13899000</v>
      </c>
      <c r="K11" s="47">
        <v>-13899000</v>
      </c>
      <c r="L11"/>
      <c r="M11"/>
      <c r="N11"/>
    </row>
    <row r="12" spans="1:14" ht="15" x14ac:dyDescent="0.25">
      <c r="A12" s="27" t="s">
        <v>97</v>
      </c>
      <c r="C12" s="47">
        <v>0</v>
      </c>
      <c r="D12" s="47">
        <v>-10978000</v>
      </c>
      <c r="E12" s="47">
        <v>-10978000</v>
      </c>
      <c r="F12" s="47">
        <v>0</v>
      </c>
      <c r="G12" s="47">
        <v>-25728000</v>
      </c>
      <c r="H12" s="47">
        <v>-25728000</v>
      </c>
      <c r="I12" s="47">
        <v>0</v>
      </c>
      <c r="J12" s="47">
        <v>-49238000</v>
      </c>
      <c r="K12" s="47">
        <v>-49238000</v>
      </c>
      <c r="L12"/>
      <c r="M12"/>
      <c r="N12"/>
    </row>
    <row r="13" spans="1:14" ht="15" x14ac:dyDescent="0.25">
      <c r="B13" s="27" t="s">
        <v>98</v>
      </c>
      <c r="C13" s="47">
        <v>0</v>
      </c>
      <c r="D13" s="47">
        <v>-10978000</v>
      </c>
      <c r="E13" s="47">
        <v>-10978000</v>
      </c>
      <c r="F13" s="47">
        <v>0</v>
      </c>
      <c r="G13" s="47">
        <v>-25728000</v>
      </c>
      <c r="H13" s="47">
        <v>-25728000</v>
      </c>
      <c r="I13" s="47">
        <v>0</v>
      </c>
      <c r="J13" s="47">
        <v>-49238000</v>
      </c>
      <c r="K13" s="47">
        <v>-49238000</v>
      </c>
      <c r="L13"/>
      <c r="M13"/>
      <c r="N13"/>
    </row>
    <row r="14" spans="1:14" ht="15" x14ac:dyDescent="0.25">
      <c r="A14" s="27" t="s">
        <v>99</v>
      </c>
      <c r="C14" s="47">
        <v>0</v>
      </c>
      <c r="D14" s="47">
        <v>-1225000</v>
      </c>
      <c r="E14" s="47">
        <v>-1225000</v>
      </c>
      <c r="F14" s="47">
        <v>0</v>
      </c>
      <c r="G14" s="47">
        <v>-2225000</v>
      </c>
      <c r="H14" s="47">
        <v>-2225000</v>
      </c>
      <c r="I14" s="47">
        <v>0</v>
      </c>
      <c r="J14" s="47">
        <v>-3425000</v>
      </c>
      <c r="K14" s="47">
        <v>-3425000</v>
      </c>
      <c r="L14"/>
      <c r="M14"/>
      <c r="N14"/>
    </row>
    <row r="15" spans="1:14" ht="15" x14ac:dyDescent="0.25">
      <c r="B15" s="27" t="s">
        <v>34</v>
      </c>
      <c r="C15" s="47">
        <v>0</v>
      </c>
      <c r="D15" s="47">
        <v>-1225000</v>
      </c>
      <c r="E15" s="47">
        <v>-1225000</v>
      </c>
      <c r="F15" s="47">
        <v>0</v>
      </c>
      <c r="G15" s="47">
        <v>-2225000</v>
      </c>
      <c r="H15" s="47">
        <v>-2225000</v>
      </c>
      <c r="I15" s="47">
        <v>0</v>
      </c>
      <c r="J15" s="47">
        <v>-3425000</v>
      </c>
      <c r="K15" s="47">
        <v>-3425000</v>
      </c>
      <c r="L15"/>
      <c r="M15"/>
      <c r="N15"/>
    </row>
    <row r="16" spans="1:14" ht="15" x14ac:dyDescent="0.25">
      <c r="A16"/>
      <c r="B16"/>
      <c r="C16"/>
      <c r="D16"/>
      <c r="E16"/>
      <c r="F16"/>
      <c r="G16"/>
      <c r="H16"/>
    </row>
  </sheetData>
  <dataConsolidate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"/>
  <sheetViews>
    <sheetView showGridLines="0" workbookViewId="0">
      <selection activeCell="E32" sqref="E32"/>
    </sheetView>
  </sheetViews>
  <sheetFormatPr defaultRowHeight="15" x14ac:dyDescent="0.25"/>
  <cols>
    <col min="1" max="16384" width="9.140625" style="19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mdGenerateReport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466725</xdr:colOff>
                <xdr:row>2</xdr:row>
                <xdr:rowOff>114300</xdr:rowOff>
              </to>
            </anchor>
          </controlPr>
        </control>
      </mc:Choice>
      <mc:Fallback>
        <control shapeId="15361" r:id="rId3" name="cmdGenerateRepo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Y30"/>
  <sheetViews>
    <sheetView workbookViewId="0">
      <selection activeCell="D6" sqref="D6:D21"/>
    </sheetView>
  </sheetViews>
  <sheetFormatPr defaultRowHeight="15" x14ac:dyDescent="0.25"/>
  <cols>
    <col min="1" max="1" width="38.28515625" customWidth="1"/>
    <col min="2" max="2" width="21.28515625" bestFit="1" customWidth="1"/>
    <col min="3" max="3" width="19" customWidth="1"/>
    <col min="4" max="4" width="30.7109375" customWidth="1"/>
    <col min="5" max="12" width="27.7109375" bestFit="1" customWidth="1"/>
    <col min="13" max="13" width="27.7109375" customWidth="1"/>
    <col min="14" max="45" width="27.7109375" bestFit="1" customWidth="1"/>
    <col min="46" max="48" width="27.7109375" customWidth="1"/>
    <col min="49" max="63" width="27.7109375" bestFit="1" customWidth="1"/>
    <col min="64" max="64" width="27" bestFit="1" customWidth="1"/>
    <col min="65" max="65" width="27.140625" bestFit="1" customWidth="1"/>
    <col min="66" max="66" width="34.140625" bestFit="1" customWidth="1"/>
    <col min="67" max="75" width="27.7109375" bestFit="1" customWidth="1"/>
    <col min="76" max="78" width="27.7109375" customWidth="1"/>
    <col min="79" max="81" width="27.7109375" bestFit="1" customWidth="1"/>
    <col min="82" max="82" width="27" bestFit="1" customWidth="1"/>
    <col min="83" max="83" width="27.140625" bestFit="1" customWidth="1"/>
    <col min="84" max="84" width="34.140625" bestFit="1" customWidth="1"/>
    <col min="85" max="93" width="27.7109375" bestFit="1" customWidth="1"/>
    <col min="94" max="94" width="27" bestFit="1" customWidth="1"/>
    <col min="95" max="95" width="27.140625" bestFit="1" customWidth="1"/>
    <col min="96" max="96" width="34.140625" bestFit="1" customWidth="1"/>
  </cols>
  <sheetData>
    <row r="1" spans="1:25" x14ac:dyDescent="0.25">
      <c r="A1" s="8" t="s">
        <v>17</v>
      </c>
      <c r="B1" t="s">
        <v>86</v>
      </c>
      <c r="C1" s="10"/>
      <c r="D1" s="10"/>
    </row>
    <row r="2" spans="1:25" x14ac:dyDescent="0.25">
      <c r="C2" s="10"/>
      <c r="D2" s="10"/>
    </row>
    <row r="3" spans="1:25" x14ac:dyDescent="0.25">
      <c r="E3" s="8" t="s">
        <v>70</v>
      </c>
      <c r="F3" s="8" t="s">
        <v>58</v>
      </c>
    </row>
    <row r="4" spans="1:25" x14ac:dyDescent="0.25">
      <c r="E4" t="s">
        <v>102</v>
      </c>
      <c r="H4" t="s">
        <v>103</v>
      </c>
      <c r="K4" t="s">
        <v>104</v>
      </c>
      <c r="N4" t="s">
        <v>91</v>
      </c>
      <c r="Q4" t="s">
        <v>92</v>
      </c>
      <c r="T4" t="s">
        <v>93</v>
      </c>
      <c r="W4" t="s">
        <v>106</v>
      </c>
    </row>
    <row r="5" spans="1:25" x14ac:dyDescent="0.25">
      <c r="A5" s="8" t="s">
        <v>59</v>
      </c>
      <c r="B5" s="8" t="s">
        <v>60</v>
      </c>
      <c r="C5" s="8" t="s">
        <v>1</v>
      </c>
      <c r="D5" s="8" t="s">
        <v>16</v>
      </c>
      <c r="E5" t="s">
        <v>54</v>
      </c>
      <c r="F5" t="s">
        <v>52</v>
      </c>
      <c r="G5" t="s">
        <v>53</v>
      </c>
      <c r="H5" t="s">
        <v>54</v>
      </c>
      <c r="I5" t="s">
        <v>52</v>
      </c>
      <c r="J5" t="s">
        <v>53</v>
      </c>
      <c r="K5" t="s">
        <v>54</v>
      </c>
      <c r="L5" t="s">
        <v>52</v>
      </c>
      <c r="M5" t="s">
        <v>53</v>
      </c>
      <c r="N5" t="s">
        <v>54</v>
      </c>
      <c r="O5" t="s">
        <v>52</v>
      </c>
      <c r="P5" t="s">
        <v>53</v>
      </c>
      <c r="Q5" t="s">
        <v>54</v>
      </c>
      <c r="R5" t="s">
        <v>52</v>
      </c>
      <c r="S5" t="s">
        <v>53</v>
      </c>
      <c r="T5" t="s">
        <v>54</v>
      </c>
      <c r="U5" t="s">
        <v>52</v>
      </c>
      <c r="V5" t="s">
        <v>53</v>
      </c>
      <c r="W5" t="s">
        <v>54</v>
      </c>
      <c r="X5" t="s">
        <v>52</v>
      </c>
      <c r="Y5" t="s">
        <v>53</v>
      </c>
    </row>
    <row r="6" spans="1:25" x14ac:dyDescent="0.25">
      <c r="A6" t="s">
        <v>56</v>
      </c>
      <c r="E6" s="15">
        <v>0</v>
      </c>
      <c r="F6" s="15">
        <v>10000000</v>
      </c>
      <c r="G6" s="15">
        <v>10000000</v>
      </c>
      <c r="H6" s="15">
        <v>0</v>
      </c>
      <c r="I6" s="15">
        <v>6100000</v>
      </c>
      <c r="J6" s="15">
        <v>6100000</v>
      </c>
      <c r="K6" s="15">
        <v>0</v>
      </c>
      <c r="L6" s="15">
        <v>153000</v>
      </c>
      <c r="M6" s="15">
        <v>153000</v>
      </c>
      <c r="N6" s="15">
        <v>0</v>
      </c>
      <c r="O6" s="15">
        <v>3439499</v>
      </c>
      <c r="P6" s="15">
        <v>3439499</v>
      </c>
      <c r="Q6" s="15">
        <v>0</v>
      </c>
      <c r="R6" s="15">
        <v>4110000</v>
      </c>
      <c r="S6" s="15">
        <v>4110000</v>
      </c>
      <c r="T6" s="15">
        <v>1933831</v>
      </c>
      <c r="U6" s="15">
        <v>15911000</v>
      </c>
      <c r="V6" s="15">
        <v>13977169</v>
      </c>
      <c r="W6" s="15">
        <v>0</v>
      </c>
      <c r="X6" s="15">
        <v>3500000</v>
      </c>
      <c r="Y6" s="15">
        <v>3500000</v>
      </c>
    </row>
    <row r="7" spans="1:25" x14ac:dyDescent="0.25">
      <c r="B7" t="s">
        <v>85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>
        <v>1933831</v>
      </c>
      <c r="U7" s="15">
        <v>0</v>
      </c>
      <c r="V7" s="15">
        <v>-1933831</v>
      </c>
      <c r="W7" s="15"/>
      <c r="X7" s="15"/>
      <c r="Y7" s="15"/>
    </row>
    <row r="8" spans="1:25" x14ac:dyDescent="0.25">
      <c r="C8" t="s">
        <v>4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>
        <v>1933831</v>
      </c>
      <c r="U8" s="15">
        <v>0</v>
      </c>
      <c r="V8" s="15">
        <v>-1933831</v>
      </c>
      <c r="W8" s="15"/>
      <c r="X8" s="15"/>
      <c r="Y8" s="15"/>
    </row>
    <row r="9" spans="1:25" x14ac:dyDescent="0.25">
      <c r="D9" t="s">
        <v>25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>
        <v>1933831</v>
      </c>
      <c r="U9" s="15">
        <v>0</v>
      </c>
      <c r="V9" s="15">
        <v>-1933831</v>
      </c>
      <c r="W9" s="15"/>
      <c r="X9" s="15"/>
      <c r="Y9" s="15"/>
    </row>
    <row r="10" spans="1:25" x14ac:dyDescent="0.25">
      <c r="B10" t="s">
        <v>101</v>
      </c>
      <c r="E10" s="15">
        <v>0</v>
      </c>
      <c r="F10" s="15">
        <v>10000000</v>
      </c>
      <c r="G10" s="15">
        <v>10000000</v>
      </c>
      <c r="H10" s="15">
        <v>0</v>
      </c>
      <c r="I10" s="15">
        <v>6100000</v>
      </c>
      <c r="J10" s="15">
        <v>6100000</v>
      </c>
      <c r="K10" s="15">
        <v>0</v>
      </c>
      <c r="L10" s="15">
        <v>153000</v>
      </c>
      <c r="M10" s="15">
        <v>153000</v>
      </c>
      <c r="N10" s="15">
        <v>0</v>
      </c>
      <c r="O10" s="15">
        <v>3439499</v>
      </c>
      <c r="P10" s="15">
        <v>3439499</v>
      </c>
      <c r="Q10" s="15">
        <v>0</v>
      </c>
      <c r="R10" s="15">
        <v>4110000</v>
      </c>
      <c r="S10" s="15">
        <v>4110000</v>
      </c>
      <c r="T10" s="15">
        <v>0</v>
      </c>
      <c r="U10" s="15">
        <v>15911000</v>
      </c>
      <c r="V10" s="15">
        <v>15911000</v>
      </c>
      <c r="W10" s="15">
        <v>0</v>
      </c>
      <c r="X10" s="15">
        <v>3500000</v>
      </c>
      <c r="Y10" s="15">
        <v>3500000</v>
      </c>
    </row>
    <row r="11" spans="1:25" x14ac:dyDescent="0.25">
      <c r="C11" t="s">
        <v>100</v>
      </c>
      <c r="E11" s="15"/>
      <c r="F11" s="15"/>
      <c r="G11" s="15"/>
      <c r="H11" s="15"/>
      <c r="I11" s="15"/>
      <c r="J11" s="15"/>
      <c r="K11" s="15"/>
      <c r="L11" s="15"/>
      <c r="M11" s="15"/>
      <c r="N11" s="15">
        <v>0</v>
      </c>
      <c r="O11" s="15">
        <v>4499</v>
      </c>
      <c r="P11" s="15">
        <v>4499</v>
      </c>
      <c r="Q11" s="15"/>
      <c r="R11" s="15"/>
      <c r="S11" s="15"/>
      <c r="T11" s="15"/>
      <c r="U11" s="15"/>
      <c r="V11" s="15"/>
      <c r="W11" s="15"/>
      <c r="X11" s="15"/>
      <c r="Y11" s="15"/>
    </row>
    <row r="12" spans="1:25" x14ac:dyDescent="0.25">
      <c r="D12" t="s">
        <v>34</v>
      </c>
      <c r="E12" s="15"/>
      <c r="F12" s="15"/>
      <c r="G12" s="15"/>
      <c r="H12" s="15"/>
      <c r="I12" s="15"/>
      <c r="J12" s="15"/>
      <c r="K12" s="15"/>
      <c r="L12" s="15"/>
      <c r="M12" s="15"/>
      <c r="N12" s="15">
        <v>0</v>
      </c>
      <c r="O12" s="15">
        <v>4499</v>
      </c>
      <c r="P12" s="15">
        <v>4499</v>
      </c>
      <c r="Q12" s="15"/>
      <c r="R12" s="15"/>
      <c r="S12" s="15"/>
      <c r="T12" s="15"/>
      <c r="U12" s="15"/>
      <c r="V12" s="15"/>
      <c r="W12" s="15"/>
      <c r="X12" s="15"/>
      <c r="Y12" s="15"/>
    </row>
    <row r="13" spans="1:25" x14ac:dyDescent="0.25">
      <c r="C13" t="s">
        <v>95</v>
      </c>
      <c r="E13" s="15">
        <v>0</v>
      </c>
      <c r="F13" s="15">
        <v>2000000</v>
      </c>
      <c r="G13" s="15">
        <v>2000000</v>
      </c>
      <c r="H13" s="15">
        <v>0</v>
      </c>
      <c r="I13" s="15">
        <v>2000000</v>
      </c>
      <c r="J13" s="15">
        <v>2000000</v>
      </c>
      <c r="K13" s="15">
        <v>0</v>
      </c>
      <c r="L13" s="15">
        <v>153000</v>
      </c>
      <c r="M13" s="15">
        <v>153000</v>
      </c>
      <c r="N13" s="15">
        <v>0</v>
      </c>
      <c r="O13" s="15">
        <v>485000</v>
      </c>
      <c r="P13" s="15">
        <v>485000</v>
      </c>
      <c r="Q13" s="15">
        <v>0</v>
      </c>
      <c r="R13" s="15">
        <v>110000</v>
      </c>
      <c r="S13" s="15">
        <v>110000</v>
      </c>
      <c r="T13" s="15">
        <v>0</v>
      </c>
      <c r="U13" s="15">
        <v>1651000</v>
      </c>
      <c r="V13" s="15">
        <v>1651000</v>
      </c>
      <c r="W13" s="15"/>
      <c r="X13" s="15"/>
      <c r="Y13" s="15"/>
    </row>
    <row r="14" spans="1:25" x14ac:dyDescent="0.25">
      <c r="D14" t="s">
        <v>34</v>
      </c>
      <c r="E14" s="15">
        <v>0</v>
      </c>
      <c r="F14" s="15">
        <v>2000000</v>
      </c>
      <c r="G14" s="15">
        <v>2000000</v>
      </c>
      <c r="H14" s="15">
        <v>0</v>
      </c>
      <c r="I14" s="15">
        <v>2000000</v>
      </c>
      <c r="J14" s="15">
        <v>2000000</v>
      </c>
      <c r="K14" s="15">
        <v>0</v>
      </c>
      <c r="L14" s="15">
        <v>153000</v>
      </c>
      <c r="M14" s="15">
        <v>153000</v>
      </c>
      <c r="N14" s="15">
        <v>0</v>
      </c>
      <c r="O14" s="15">
        <v>485000</v>
      </c>
      <c r="P14" s="15">
        <v>485000</v>
      </c>
      <c r="Q14" s="15">
        <v>0</v>
      </c>
      <c r="R14" s="15">
        <v>110000</v>
      </c>
      <c r="S14" s="15">
        <v>110000</v>
      </c>
      <c r="T14" s="15">
        <v>0</v>
      </c>
      <c r="U14" s="15">
        <v>1651000</v>
      </c>
      <c r="V14" s="15">
        <v>1651000</v>
      </c>
      <c r="W14" s="15"/>
      <c r="X14" s="15"/>
      <c r="Y14" s="15"/>
    </row>
    <row r="15" spans="1:25" x14ac:dyDescent="0.25">
      <c r="C15" t="s">
        <v>97</v>
      </c>
      <c r="E15" s="15">
        <v>0</v>
      </c>
      <c r="F15" s="15">
        <v>7000000</v>
      </c>
      <c r="G15" s="15">
        <v>7000000</v>
      </c>
      <c r="H15" s="15">
        <v>0</v>
      </c>
      <c r="I15" s="15">
        <v>4100000</v>
      </c>
      <c r="J15" s="15">
        <v>4100000</v>
      </c>
      <c r="K15" s="15"/>
      <c r="L15" s="15"/>
      <c r="M15" s="15"/>
      <c r="N15" s="15">
        <v>0</v>
      </c>
      <c r="O15" s="15">
        <v>2250000</v>
      </c>
      <c r="P15" s="15">
        <v>2250000</v>
      </c>
      <c r="Q15" s="15">
        <v>0</v>
      </c>
      <c r="R15" s="15">
        <v>3500000</v>
      </c>
      <c r="S15" s="15">
        <v>3500000</v>
      </c>
      <c r="T15" s="15">
        <v>0</v>
      </c>
      <c r="U15" s="15">
        <v>14260000</v>
      </c>
      <c r="V15" s="15">
        <v>14260000</v>
      </c>
      <c r="W15" s="15">
        <v>0</v>
      </c>
      <c r="X15" s="15">
        <v>3500000</v>
      </c>
      <c r="Y15" s="15">
        <v>3500000</v>
      </c>
    </row>
    <row r="16" spans="1:25" x14ac:dyDescent="0.25">
      <c r="D16" t="s">
        <v>98</v>
      </c>
      <c r="E16" s="15">
        <v>0</v>
      </c>
      <c r="F16" s="15">
        <v>7000000</v>
      </c>
      <c r="G16" s="15">
        <v>7000000</v>
      </c>
      <c r="H16" s="15">
        <v>0</v>
      </c>
      <c r="I16" s="15">
        <v>4100000</v>
      </c>
      <c r="J16" s="15">
        <v>4100000</v>
      </c>
      <c r="K16" s="15"/>
      <c r="L16" s="15"/>
      <c r="M16" s="15"/>
      <c r="N16" s="15">
        <v>0</v>
      </c>
      <c r="O16" s="15">
        <v>2250000</v>
      </c>
      <c r="P16" s="15">
        <v>2250000</v>
      </c>
      <c r="Q16" s="15">
        <v>0</v>
      </c>
      <c r="R16" s="15">
        <v>3500000</v>
      </c>
      <c r="S16" s="15">
        <v>3500000</v>
      </c>
      <c r="T16" s="15">
        <v>0</v>
      </c>
      <c r="U16" s="15">
        <v>14260000</v>
      </c>
      <c r="V16" s="15">
        <v>14260000</v>
      </c>
      <c r="W16" s="15">
        <v>0</v>
      </c>
      <c r="X16" s="15">
        <v>3500000</v>
      </c>
      <c r="Y16" s="15">
        <v>3500000</v>
      </c>
    </row>
    <row r="17" spans="1:25" x14ac:dyDescent="0.25">
      <c r="C17" t="s">
        <v>99</v>
      </c>
      <c r="E17" s="15">
        <v>0</v>
      </c>
      <c r="F17" s="15">
        <v>1000000</v>
      </c>
      <c r="G17" s="15">
        <v>1000000</v>
      </c>
      <c r="H17" s="15"/>
      <c r="I17" s="15"/>
      <c r="J17" s="15"/>
      <c r="K17" s="15"/>
      <c r="L17" s="15"/>
      <c r="M17" s="15"/>
      <c r="N17" s="15">
        <v>0</v>
      </c>
      <c r="O17" s="15">
        <v>700000</v>
      </c>
      <c r="P17" s="15">
        <v>700000</v>
      </c>
      <c r="Q17" s="15">
        <v>0</v>
      </c>
      <c r="R17" s="15">
        <v>500000</v>
      </c>
      <c r="S17" s="15">
        <v>500000</v>
      </c>
      <c r="T17" s="15"/>
      <c r="U17" s="15"/>
      <c r="V17" s="15"/>
      <c r="W17" s="15"/>
      <c r="X17" s="15"/>
      <c r="Y17" s="15"/>
    </row>
    <row r="18" spans="1:25" x14ac:dyDescent="0.25">
      <c r="D18" t="s">
        <v>34</v>
      </c>
      <c r="E18" s="15">
        <v>0</v>
      </c>
      <c r="F18" s="15">
        <v>1000000</v>
      </c>
      <c r="G18" s="15">
        <v>1000000</v>
      </c>
      <c r="H18" s="15"/>
      <c r="I18" s="15"/>
      <c r="J18" s="15"/>
      <c r="K18" s="15"/>
      <c r="L18" s="15"/>
      <c r="M18" s="15"/>
      <c r="N18" s="15">
        <v>0</v>
      </c>
      <c r="O18" s="15">
        <v>700000</v>
      </c>
      <c r="P18" s="15">
        <v>700000</v>
      </c>
      <c r="Q18" s="15">
        <v>0</v>
      </c>
      <c r="R18" s="15">
        <v>500000</v>
      </c>
      <c r="S18" s="15">
        <v>500000</v>
      </c>
      <c r="T18" s="15"/>
      <c r="U18" s="15"/>
      <c r="V18" s="15"/>
      <c r="W18" s="15"/>
      <c r="X18" s="15"/>
      <c r="Y18" s="15"/>
    </row>
    <row r="19" spans="1:25" x14ac:dyDescent="0.25">
      <c r="A19" t="s">
        <v>57</v>
      </c>
      <c r="E19" s="15">
        <v>0</v>
      </c>
      <c r="F19" s="15">
        <v>2000000</v>
      </c>
      <c r="G19" s="15">
        <v>2000000</v>
      </c>
      <c r="H19" s="15">
        <v>0</v>
      </c>
      <c r="I19" s="15">
        <v>2000000</v>
      </c>
      <c r="J19" s="15">
        <v>2000000</v>
      </c>
      <c r="K19" s="15">
        <v>0</v>
      </c>
      <c r="L19" s="15">
        <v>153000</v>
      </c>
      <c r="M19" s="15">
        <v>153000</v>
      </c>
      <c r="N19" s="15">
        <v>1429406</v>
      </c>
      <c r="O19" s="15">
        <v>485000</v>
      </c>
      <c r="P19" s="15">
        <v>-944406</v>
      </c>
      <c r="Q19" s="15">
        <v>95000</v>
      </c>
      <c r="R19" s="15">
        <v>110000</v>
      </c>
      <c r="S19" s="15">
        <v>15000</v>
      </c>
      <c r="T19" s="15"/>
      <c r="U19" s="15"/>
      <c r="V19" s="15"/>
      <c r="W19" s="15"/>
      <c r="X19" s="15"/>
      <c r="Y19" s="15"/>
    </row>
    <row r="20" spans="1:25" x14ac:dyDescent="0.25">
      <c r="B20" t="s">
        <v>55</v>
      </c>
      <c r="E20" s="15"/>
      <c r="F20" s="15"/>
      <c r="G20" s="15"/>
      <c r="H20" s="15"/>
      <c r="I20" s="15"/>
      <c r="J20" s="15"/>
      <c r="K20" s="15"/>
      <c r="L20" s="15"/>
      <c r="M20" s="15"/>
      <c r="N20" s="15">
        <v>350000</v>
      </c>
      <c r="O20" s="15">
        <v>0</v>
      </c>
      <c r="P20" s="15">
        <v>-350000</v>
      </c>
      <c r="Q20" s="15"/>
      <c r="R20" s="15"/>
      <c r="S20" s="15"/>
      <c r="T20" s="15"/>
      <c r="U20" s="15"/>
      <c r="V20" s="15"/>
      <c r="W20" s="15"/>
      <c r="X20" s="15"/>
      <c r="Y20" s="15"/>
    </row>
    <row r="21" spans="1:25" x14ac:dyDescent="0.25">
      <c r="C21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">
        <v>350000</v>
      </c>
      <c r="O21" s="15">
        <v>0</v>
      </c>
      <c r="P21" s="15">
        <v>-350000</v>
      </c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25">
      <c r="D22" t="s">
        <v>38</v>
      </c>
      <c r="E22" s="15"/>
      <c r="F22" s="15"/>
      <c r="G22" s="15"/>
      <c r="H22" s="15"/>
      <c r="I22" s="15"/>
      <c r="J22" s="15"/>
      <c r="K22" s="15"/>
      <c r="L22" s="15"/>
      <c r="M22" s="15"/>
      <c r="N22" s="15">
        <v>350000</v>
      </c>
      <c r="O22" s="15">
        <v>0</v>
      </c>
      <c r="P22" s="15">
        <v>-350000</v>
      </c>
      <c r="Q22" s="15"/>
      <c r="R22" s="15"/>
      <c r="S22" s="15"/>
      <c r="T22" s="15"/>
      <c r="U22" s="15"/>
      <c r="V22" s="15"/>
      <c r="W22" s="15"/>
      <c r="X22" s="15"/>
      <c r="Y22" s="15"/>
    </row>
    <row r="23" spans="1:25" x14ac:dyDescent="0.25">
      <c r="B23" t="s">
        <v>101</v>
      </c>
      <c r="E23" s="15">
        <v>0</v>
      </c>
      <c r="F23" s="15">
        <v>2000000</v>
      </c>
      <c r="G23" s="15">
        <v>2000000</v>
      </c>
      <c r="H23" s="15">
        <v>0</v>
      </c>
      <c r="I23" s="15">
        <v>2000000</v>
      </c>
      <c r="J23" s="15">
        <v>2000000</v>
      </c>
      <c r="K23" s="15">
        <v>0</v>
      </c>
      <c r="L23" s="15">
        <v>153000</v>
      </c>
      <c r="M23" s="15">
        <v>153000</v>
      </c>
      <c r="N23" s="15">
        <v>0</v>
      </c>
      <c r="O23" s="15">
        <v>485000</v>
      </c>
      <c r="P23" s="15">
        <v>485000</v>
      </c>
      <c r="Q23" s="15">
        <v>0</v>
      </c>
      <c r="R23" s="15">
        <v>110000</v>
      </c>
      <c r="S23" s="15">
        <v>110000</v>
      </c>
      <c r="T23" s="15"/>
      <c r="U23" s="15"/>
      <c r="V23" s="15"/>
      <c r="W23" s="15"/>
      <c r="X23" s="15"/>
      <c r="Y23" s="15"/>
    </row>
    <row r="24" spans="1:25" x14ac:dyDescent="0.25">
      <c r="C24" t="s">
        <v>96</v>
      </c>
      <c r="E24" s="15">
        <v>0</v>
      </c>
      <c r="F24" s="15">
        <v>2000000</v>
      </c>
      <c r="G24" s="15">
        <v>2000000</v>
      </c>
      <c r="H24" s="15">
        <v>0</v>
      </c>
      <c r="I24" s="15">
        <v>2000000</v>
      </c>
      <c r="J24" s="15">
        <v>2000000</v>
      </c>
      <c r="K24" s="15">
        <v>0</v>
      </c>
      <c r="L24" s="15">
        <v>153000</v>
      </c>
      <c r="M24" s="15">
        <v>153000</v>
      </c>
      <c r="N24" s="15">
        <v>0</v>
      </c>
      <c r="O24" s="15">
        <v>485000</v>
      </c>
      <c r="P24" s="15">
        <v>485000</v>
      </c>
      <c r="Q24" s="15">
        <v>0</v>
      </c>
      <c r="R24" s="15">
        <v>110000</v>
      </c>
      <c r="S24" s="15">
        <v>110000</v>
      </c>
      <c r="T24" s="15"/>
      <c r="U24" s="15"/>
      <c r="V24" s="15"/>
      <c r="W24" s="15"/>
      <c r="X24" s="15"/>
      <c r="Y24" s="15"/>
    </row>
    <row r="25" spans="1:25" x14ac:dyDescent="0.25">
      <c r="D25" t="s">
        <v>34</v>
      </c>
      <c r="E25" s="15">
        <v>0</v>
      </c>
      <c r="F25" s="15">
        <v>2000000</v>
      </c>
      <c r="G25" s="15">
        <v>2000000</v>
      </c>
      <c r="H25" s="15">
        <v>0</v>
      </c>
      <c r="I25" s="15">
        <v>2000000</v>
      </c>
      <c r="J25" s="15">
        <v>2000000</v>
      </c>
      <c r="K25" s="15">
        <v>0</v>
      </c>
      <c r="L25" s="15">
        <v>153000</v>
      </c>
      <c r="M25" s="15">
        <v>153000</v>
      </c>
      <c r="N25" s="15">
        <v>0</v>
      </c>
      <c r="O25" s="15">
        <v>485000</v>
      </c>
      <c r="P25" s="15">
        <v>485000</v>
      </c>
      <c r="Q25" s="15">
        <v>0</v>
      </c>
      <c r="R25" s="15">
        <v>110000</v>
      </c>
      <c r="S25" s="15">
        <v>110000</v>
      </c>
      <c r="T25" s="15"/>
      <c r="U25" s="15"/>
      <c r="V25" s="15"/>
      <c r="W25" s="15"/>
      <c r="X25" s="15"/>
      <c r="Y25" s="15"/>
    </row>
    <row r="26" spans="1:25" x14ac:dyDescent="0.25">
      <c r="B26" t="s">
        <v>29</v>
      </c>
      <c r="E26" s="15"/>
      <c r="F26" s="15"/>
      <c r="G26" s="15"/>
      <c r="H26" s="15"/>
      <c r="I26" s="15"/>
      <c r="J26" s="15"/>
      <c r="K26" s="15"/>
      <c r="L26" s="15"/>
      <c r="M26" s="15"/>
      <c r="N26" s="15">
        <v>1079406</v>
      </c>
      <c r="O26" s="15">
        <v>0</v>
      </c>
      <c r="P26" s="15">
        <v>-1079406</v>
      </c>
      <c r="Q26" s="15">
        <v>95000</v>
      </c>
      <c r="R26" s="15">
        <v>0</v>
      </c>
      <c r="S26" s="15">
        <v>-95000</v>
      </c>
      <c r="T26" s="15"/>
      <c r="U26" s="15"/>
      <c r="V26" s="15"/>
      <c r="W26" s="15"/>
      <c r="X26" s="15"/>
      <c r="Y26" s="15"/>
    </row>
    <row r="27" spans="1:25" x14ac:dyDescent="0.25">
      <c r="C27" t="s">
        <v>6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>
        <v>95000</v>
      </c>
      <c r="R27" s="15">
        <v>0</v>
      </c>
      <c r="S27" s="15">
        <v>-95000</v>
      </c>
      <c r="T27" s="15"/>
      <c r="U27" s="15"/>
      <c r="V27" s="15"/>
      <c r="W27" s="15"/>
      <c r="X27" s="15"/>
      <c r="Y27" s="15"/>
    </row>
    <row r="28" spans="1:25" x14ac:dyDescent="0.25">
      <c r="D28" t="s">
        <v>35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>
        <v>95000</v>
      </c>
      <c r="R28" s="15">
        <v>0</v>
      </c>
      <c r="S28" s="15">
        <v>-95000</v>
      </c>
      <c r="T28" s="15"/>
      <c r="U28" s="15"/>
      <c r="V28" s="15"/>
      <c r="W28" s="15"/>
      <c r="X28" s="15"/>
      <c r="Y28" s="15"/>
    </row>
    <row r="29" spans="1:25" x14ac:dyDescent="0.25">
      <c r="C29" t="s">
        <v>7</v>
      </c>
      <c r="E29" s="15"/>
      <c r="F29" s="15"/>
      <c r="G29" s="15"/>
      <c r="H29" s="15"/>
      <c r="I29" s="15"/>
      <c r="J29" s="15"/>
      <c r="K29" s="15"/>
      <c r="L29" s="15"/>
      <c r="M29" s="15"/>
      <c r="N29" s="15">
        <v>1079406</v>
      </c>
      <c r="O29" s="15">
        <v>0</v>
      </c>
      <c r="P29" s="15">
        <v>-1079406</v>
      </c>
      <c r="Q29" s="15"/>
      <c r="R29" s="15"/>
      <c r="S29" s="15"/>
      <c r="T29" s="15"/>
      <c r="U29" s="15"/>
      <c r="V29" s="15"/>
      <c r="W29" s="15"/>
      <c r="X29" s="15"/>
      <c r="Y29" s="15"/>
    </row>
    <row r="30" spans="1:25" x14ac:dyDescent="0.25">
      <c r="D30" t="s">
        <v>33</v>
      </c>
      <c r="E30" s="15"/>
      <c r="F30" s="15"/>
      <c r="G30" s="15"/>
      <c r="H30" s="15"/>
      <c r="I30" s="15"/>
      <c r="J30" s="15"/>
      <c r="K30" s="15"/>
      <c r="L30" s="15"/>
      <c r="M30" s="15"/>
      <c r="N30" s="15">
        <v>1079406</v>
      </c>
      <c r="O30" s="15">
        <v>0</v>
      </c>
      <c r="P30" s="15">
        <v>-1079406</v>
      </c>
      <c r="Q30" s="15"/>
      <c r="R30" s="15"/>
      <c r="S30" s="15"/>
      <c r="T30" s="15"/>
      <c r="U30" s="15"/>
      <c r="V30" s="15"/>
      <c r="W30" s="15"/>
      <c r="X30" s="15"/>
      <c r="Y30" s="15"/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3" r:id="rId5" name="cmdGenerateReport">
          <controlPr defaultSize="0" autoLine="0" r:id="rId6">
            <anchor moveWithCells="1">
              <from>
                <xdr:col>2</xdr:col>
                <xdr:colOff>809625</xdr:colOff>
                <xdr:row>0</xdr:row>
                <xdr:rowOff>19050</xdr:rowOff>
              </from>
              <to>
                <xdr:col>3</xdr:col>
                <xdr:colOff>1219200</xdr:colOff>
                <xdr:row>1</xdr:row>
                <xdr:rowOff>123825</xdr:rowOff>
              </to>
            </anchor>
          </controlPr>
        </control>
      </mc:Choice>
      <mc:Fallback>
        <control shapeId="8193" r:id="rId5" name="cmdGenerate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 summaryRight="0"/>
  </sheetPr>
  <dimension ref="A1:N9089"/>
  <sheetViews>
    <sheetView tabSelected="1" zoomScale="85" zoomScaleNormal="85" zoomScaleSheetLayoutView="100" workbookViewId="0">
      <selection activeCell="D55" sqref="D55"/>
    </sheetView>
  </sheetViews>
  <sheetFormatPr defaultRowHeight="15" outlineLevelRow="2" x14ac:dyDescent="0.25"/>
  <cols>
    <col min="1" max="1" width="16.7109375" customWidth="1"/>
    <col min="2" max="2" width="10.42578125" customWidth="1"/>
    <col min="3" max="3" width="21.5703125" customWidth="1"/>
    <col min="4" max="5943" width="12.7109375" customWidth="1"/>
  </cols>
  <sheetData>
    <row r="1" spans="1:14" ht="35.1" customHeight="1" x14ac:dyDescent="0.3">
      <c r="A1" s="83" t="s">
        <v>61</v>
      </c>
      <c r="B1" s="84"/>
      <c r="C1" s="85"/>
      <c r="D1" s="90" t="s">
        <v>66</v>
      </c>
      <c r="E1" s="89" t="s">
        <v>10</v>
      </c>
      <c r="F1" s="89"/>
      <c r="G1" s="89"/>
      <c r="H1" s="89" t="s">
        <v>11</v>
      </c>
      <c r="I1" s="89"/>
      <c r="J1" s="89"/>
      <c r="K1" s="89" t="s">
        <v>39</v>
      </c>
      <c r="L1" s="89"/>
      <c r="M1" s="89"/>
      <c r="N1" s="92" t="s">
        <v>67</v>
      </c>
    </row>
    <row r="2" spans="1:14" ht="45" customHeight="1" x14ac:dyDescent="0.25">
      <c r="A2" s="86" t="s">
        <v>109</v>
      </c>
      <c r="B2" s="87"/>
      <c r="C2" s="88"/>
      <c r="D2" s="91"/>
      <c r="E2" s="60" t="s">
        <v>41</v>
      </c>
      <c r="F2" s="1" t="s">
        <v>42</v>
      </c>
      <c r="G2" s="1" t="s">
        <v>43</v>
      </c>
      <c r="H2" s="60" t="s">
        <v>41</v>
      </c>
      <c r="I2" s="1" t="s">
        <v>42</v>
      </c>
      <c r="J2" s="1" t="s">
        <v>43</v>
      </c>
      <c r="K2" s="60" t="s">
        <v>41</v>
      </c>
      <c r="L2" s="1" t="s">
        <v>42</v>
      </c>
      <c r="M2" s="1" t="s">
        <v>43</v>
      </c>
      <c r="N2" s="93"/>
    </row>
    <row r="3" spans="1:14" x14ac:dyDescent="0.25">
      <c r="A3" s="64" t="s">
        <v>44</v>
      </c>
      <c r="B3" s="2"/>
      <c r="C3" s="12"/>
      <c r="D3" s="16">
        <v>39502</v>
      </c>
      <c r="E3" s="21">
        <v>11198</v>
      </c>
      <c r="F3" s="21">
        <v>1775953</v>
      </c>
      <c r="G3" s="21">
        <v>1764755</v>
      </c>
      <c r="H3" s="21">
        <v>0</v>
      </c>
      <c r="I3" s="21">
        <v>46767</v>
      </c>
      <c r="J3" s="21">
        <v>46767</v>
      </c>
      <c r="K3" s="21">
        <v>1933831</v>
      </c>
      <c r="L3" s="21">
        <v>0</v>
      </c>
      <c r="M3" s="21">
        <v>-1933831</v>
      </c>
      <c r="N3" s="65">
        <v>-82807</v>
      </c>
    </row>
    <row r="4" spans="1:14" collapsed="1" x14ac:dyDescent="0.25">
      <c r="A4" s="28" t="s">
        <v>85</v>
      </c>
      <c r="B4" s="3"/>
      <c r="C4" s="13"/>
      <c r="D4" s="17">
        <v>-11198</v>
      </c>
      <c r="E4" s="22">
        <v>11198</v>
      </c>
      <c r="F4" s="22">
        <v>1717472</v>
      </c>
      <c r="G4" s="61">
        <v>1706274</v>
      </c>
      <c r="H4" s="22">
        <v>0</v>
      </c>
      <c r="I4" s="22">
        <v>1180</v>
      </c>
      <c r="J4" s="61">
        <v>1180</v>
      </c>
      <c r="K4" s="22">
        <v>1933831</v>
      </c>
      <c r="L4" s="22">
        <v>0</v>
      </c>
      <c r="M4" s="61">
        <v>-1933831</v>
      </c>
      <c r="N4" s="66">
        <v>-237575</v>
      </c>
    </row>
    <row r="5" spans="1:14" s="37" customFormat="1" ht="11.25" hidden="1" outlineLevel="1" collapsed="1" x14ac:dyDescent="0.2">
      <c r="A5" s="34"/>
      <c r="B5" s="35" t="s">
        <v>4</v>
      </c>
      <c r="C5" s="36"/>
      <c r="D5" s="73">
        <v>-11198</v>
      </c>
      <c r="E5" s="48">
        <v>11198</v>
      </c>
      <c r="F5" s="48">
        <v>1717472</v>
      </c>
      <c r="G5" s="79">
        <v>1706274</v>
      </c>
      <c r="H5" s="48">
        <v>0</v>
      </c>
      <c r="I5" s="48">
        <v>1180</v>
      </c>
      <c r="J5" s="79">
        <v>1180</v>
      </c>
      <c r="K5" s="48">
        <v>1933831</v>
      </c>
      <c r="L5" s="48">
        <v>0</v>
      </c>
      <c r="M5" s="79">
        <v>-1933831</v>
      </c>
      <c r="N5" s="99">
        <v>-237575</v>
      </c>
    </row>
    <row r="6" spans="1:14" s="37" customFormat="1" ht="11.25" hidden="1" outlineLevel="2" x14ac:dyDescent="0.2">
      <c r="A6" s="34"/>
      <c r="B6" s="35"/>
      <c r="C6" s="36" t="s">
        <v>25</v>
      </c>
      <c r="D6" s="73"/>
      <c r="E6" s="48">
        <v>0</v>
      </c>
      <c r="F6" s="48">
        <v>1243814</v>
      </c>
      <c r="G6" s="79">
        <v>1243814</v>
      </c>
      <c r="H6" s="48"/>
      <c r="I6" s="48"/>
      <c r="J6" s="79"/>
      <c r="K6" s="48">
        <v>1933831</v>
      </c>
      <c r="L6" s="48">
        <v>0</v>
      </c>
      <c r="M6" s="79">
        <v>-1933831</v>
      </c>
      <c r="N6" s="99">
        <v>-690017</v>
      </c>
    </row>
    <row r="7" spans="1:14" s="37" customFormat="1" ht="11.25" hidden="1" outlineLevel="2" x14ac:dyDescent="0.2">
      <c r="A7" s="34"/>
      <c r="B7" s="35"/>
      <c r="C7" s="36" t="s">
        <v>37</v>
      </c>
      <c r="D7" s="73"/>
      <c r="E7" s="48"/>
      <c r="F7" s="48"/>
      <c r="G7" s="79"/>
      <c r="H7" s="48">
        <v>0</v>
      </c>
      <c r="I7" s="48">
        <v>1180</v>
      </c>
      <c r="J7" s="79">
        <v>1180</v>
      </c>
      <c r="K7" s="48"/>
      <c r="L7" s="48"/>
      <c r="M7" s="79"/>
      <c r="N7" s="99">
        <v>1180</v>
      </c>
    </row>
    <row r="8" spans="1:14" s="37" customFormat="1" ht="11.25" hidden="1" outlineLevel="2" x14ac:dyDescent="0.2">
      <c r="A8" s="34"/>
      <c r="B8" s="35"/>
      <c r="C8" s="36">
        <v>2158501</v>
      </c>
      <c r="D8" s="73"/>
      <c r="E8" s="48">
        <v>11198</v>
      </c>
      <c r="F8" s="48">
        <v>270379</v>
      </c>
      <c r="G8" s="79">
        <v>259181</v>
      </c>
      <c r="H8" s="48"/>
      <c r="I8" s="48"/>
      <c r="J8" s="79"/>
      <c r="K8" s="48"/>
      <c r="L8" s="48"/>
      <c r="M8" s="79"/>
      <c r="N8" s="99">
        <v>259181</v>
      </c>
    </row>
    <row r="9" spans="1:14" s="37" customFormat="1" ht="11.25" hidden="1" outlineLevel="2" x14ac:dyDescent="0.2">
      <c r="A9" s="34"/>
      <c r="B9" s="35"/>
      <c r="C9" s="36" t="s">
        <v>34</v>
      </c>
      <c r="D9" s="73"/>
      <c r="E9" s="48">
        <v>0</v>
      </c>
      <c r="F9" s="48">
        <v>203279</v>
      </c>
      <c r="G9" s="79">
        <v>203279</v>
      </c>
      <c r="H9" s="48"/>
      <c r="I9" s="48"/>
      <c r="J9" s="79"/>
      <c r="K9" s="48"/>
      <c r="L9" s="48"/>
      <c r="M9" s="79"/>
      <c r="N9" s="99">
        <v>203279</v>
      </c>
    </row>
    <row r="10" spans="1:14" collapsed="1" x14ac:dyDescent="0.25">
      <c r="A10" s="28" t="s">
        <v>71</v>
      </c>
      <c r="B10" s="3"/>
      <c r="C10" s="13"/>
      <c r="D10" s="17">
        <v>50700</v>
      </c>
      <c r="E10" s="22">
        <v>0</v>
      </c>
      <c r="F10" s="22">
        <v>58481</v>
      </c>
      <c r="G10" s="61">
        <v>58481</v>
      </c>
      <c r="H10" s="22">
        <v>0</v>
      </c>
      <c r="I10" s="22">
        <v>45587</v>
      </c>
      <c r="J10" s="61">
        <v>45587</v>
      </c>
      <c r="K10" s="22"/>
      <c r="L10" s="22"/>
      <c r="M10" s="61"/>
      <c r="N10" s="95">
        <v>154768</v>
      </c>
    </row>
    <row r="11" spans="1:14" s="37" customFormat="1" ht="11.25" hidden="1" outlineLevel="1" collapsed="1" x14ac:dyDescent="0.2">
      <c r="A11" s="34"/>
      <c r="B11" s="35" t="s">
        <v>3</v>
      </c>
      <c r="C11" s="36"/>
      <c r="D11" s="73">
        <v>50700</v>
      </c>
      <c r="E11" s="48">
        <v>0</v>
      </c>
      <c r="F11" s="48">
        <v>58481</v>
      </c>
      <c r="G11" s="79">
        <v>58481</v>
      </c>
      <c r="H11" s="48">
        <v>0</v>
      </c>
      <c r="I11" s="48">
        <v>45587</v>
      </c>
      <c r="J11" s="79">
        <v>45587</v>
      </c>
      <c r="K11" s="48"/>
      <c r="L11" s="48"/>
      <c r="M11" s="79"/>
      <c r="N11" s="99">
        <v>154768</v>
      </c>
    </row>
    <row r="12" spans="1:14" s="37" customFormat="1" ht="11.25" hidden="1" outlineLevel="2" x14ac:dyDescent="0.2">
      <c r="A12" s="34"/>
      <c r="B12" s="35"/>
      <c r="C12" s="36" t="s">
        <v>34</v>
      </c>
      <c r="D12" s="73"/>
      <c r="E12" s="48">
        <v>0</v>
      </c>
      <c r="F12" s="48">
        <v>58481</v>
      </c>
      <c r="G12" s="79">
        <v>58481</v>
      </c>
      <c r="H12" s="48">
        <v>0</v>
      </c>
      <c r="I12" s="48">
        <v>45587</v>
      </c>
      <c r="J12" s="79">
        <v>45587</v>
      </c>
      <c r="K12" s="48"/>
      <c r="L12" s="48"/>
      <c r="M12" s="79"/>
      <c r="N12" s="99">
        <v>104068</v>
      </c>
    </row>
    <row r="13" spans="1:14" s="40" customFormat="1" collapsed="1" x14ac:dyDescent="0.25">
      <c r="A13" s="39" t="s">
        <v>101</v>
      </c>
      <c r="B13" s="45"/>
      <c r="C13" s="46"/>
      <c r="D13" s="74">
        <v>14450000</v>
      </c>
      <c r="E13" s="49">
        <v>0</v>
      </c>
      <c r="F13" s="49">
        <v>19703000</v>
      </c>
      <c r="G13" s="80">
        <v>19703000</v>
      </c>
      <c r="H13" s="49">
        <v>0</v>
      </c>
      <c r="I13" s="49">
        <v>19903000</v>
      </c>
      <c r="J13" s="80">
        <v>19903000</v>
      </c>
      <c r="K13" s="49">
        <v>0</v>
      </c>
      <c r="L13" s="49">
        <v>26960499</v>
      </c>
      <c r="M13" s="80">
        <v>26960499</v>
      </c>
      <c r="N13" s="101">
        <v>81016499</v>
      </c>
    </row>
    <row r="14" spans="1:14" s="44" customFormat="1" ht="11.25" hidden="1" outlineLevel="1" collapsed="1" x14ac:dyDescent="0.2">
      <c r="A14" s="41"/>
      <c r="B14" s="42" t="s">
        <v>100</v>
      </c>
      <c r="C14" s="43"/>
      <c r="D14" s="75"/>
      <c r="E14" s="50"/>
      <c r="F14" s="50"/>
      <c r="G14" s="81"/>
      <c r="H14" s="50"/>
      <c r="I14" s="50"/>
      <c r="J14" s="81"/>
      <c r="K14" s="50">
        <v>0</v>
      </c>
      <c r="L14" s="50">
        <v>4499</v>
      </c>
      <c r="M14" s="81">
        <v>4499</v>
      </c>
      <c r="N14" s="102">
        <v>4499</v>
      </c>
    </row>
    <row r="15" spans="1:14" s="44" customFormat="1" ht="11.25" hidden="1" outlineLevel="2" x14ac:dyDescent="0.2">
      <c r="A15" s="41"/>
      <c r="B15" s="42"/>
      <c r="C15" s="43" t="s">
        <v>34</v>
      </c>
      <c r="D15" s="75"/>
      <c r="E15" s="50"/>
      <c r="F15" s="50"/>
      <c r="G15" s="81"/>
      <c r="H15" s="50"/>
      <c r="I15" s="50"/>
      <c r="J15" s="81"/>
      <c r="K15" s="50">
        <v>0</v>
      </c>
      <c r="L15" s="50">
        <v>4499</v>
      </c>
      <c r="M15" s="81">
        <v>4499</v>
      </c>
      <c r="N15" s="102">
        <v>4499</v>
      </c>
    </row>
    <row r="16" spans="1:14" s="44" customFormat="1" ht="11.25" hidden="1" outlineLevel="1" collapsed="1" x14ac:dyDescent="0.2">
      <c r="A16" s="41"/>
      <c r="B16" s="42" t="s">
        <v>95</v>
      </c>
      <c r="C16" s="43"/>
      <c r="D16" s="75">
        <v>7400000</v>
      </c>
      <c r="E16" s="50">
        <v>0</v>
      </c>
      <c r="F16" s="50">
        <v>7500000</v>
      </c>
      <c r="G16" s="81">
        <v>7500000</v>
      </c>
      <c r="H16" s="50">
        <v>0</v>
      </c>
      <c r="I16" s="50">
        <v>4153000</v>
      </c>
      <c r="J16" s="81">
        <v>4153000</v>
      </c>
      <c r="K16" s="50">
        <v>0</v>
      </c>
      <c r="L16" s="50">
        <v>2246000</v>
      </c>
      <c r="M16" s="81">
        <v>2246000</v>
      </c>
      <c r="N16" s="102">
        <v>21299000</v>
      </c>
    </row>
    <row r="17" spans="1:14" s="44" customFormat="1" ht="11.25" hidden="1" outlineLevel="2" x14ac:dyDescent="0.2">
      <c r="A17" s="41"/>
      <c r="B17" s="42"/>
      <c r="C17" s="43" t="s">
        <v>34</v>
      </c>
      <c r="D17" s="75"/>
      <c r="E17" s="50">
        <v>0</v>
      </c>
      <c r="F17" s="50">
        <v>7500000</v>
      </c>
      <c r="G17" s="81">
        <v>7500000</v>
      </c>
      <c r="H17" s="50">
        <v>0</v>
      </c>
      <c r="I17" s="50">
        <v>4153000</v>
      </c>
      <c r="J17" s="81">
        <v>4153000</v>
      </c>
      <c r="K17" s="50">
        <v>0</v>
      </c>
      <c r="L17" s="50">
        <v>2246000</v>
      </c>
      <c r="M17" s="81">
        <v>2246000</v>
      </c>
      <c r="N17" s="102">
        <v>13899000</v>
      </c>
    </row>
    <row r="18" spans="1:14" s="44" customFormat="1" ht="11.25" hidden="1" outlineLevel="1" collapsed="1" x14ac:dyDescent="0.2">
      <c r="A18" s="41"/>
      <c r="B18" s="42" t="s">
        <v>97</v>
      </c>
      <c r="C18" s="43"/>
      <c r="D18" s="75">
        <v>6690000</v>
      </c>
      <c r="E18" s="50">
        <v>0</v>
      </c>
      <c r="F18" s="50">
        <v>10978000</v>
      </c>
      <c r="G18" s="81">
        <v>10978000</v>
      </c>
      <c r="H18" s="50">
        <v>0</v>
      </c>
      <c r="I18" s="50">
        <v>14750000</v>
      </c>
      <c r="J18" s="81">
        <v>14750000</v>
      </c>
      <c r="K18" s="50">
        <v>0</v>
      </c>
      <c r="L18" s="50">
        <v>23510000</v>
      </c>
      <c r="M18" s="81">
        <v>23510000</v>
      </c>
      <c r="N18" s="102">
        <v>55928000</v>
      </c>
    </row>
    <row r="19" spans="1:14" s="44" customFormat="1" ht="11.25" hidden="1" outlineLevel="2" x14ac:dyDescent="0.2">
      <c r="A19" s="41"/>
      <c r="B19" s="42"/>
      <c r="C19" s="43">
        <v>15</v>
      </c>
      <c r="D19" s="75"/>
      <c r="E19" s="50">
        <v>0</v>
      </c>
      <c r="F19" s="50">
        <v>10978000</v>
      </c>
      <c r="G19" s="81">
        <v>10978000</v>
      </c>
      <c r="H19" s="50">
        <v>0</v>
      </c>
      <c r="I19" s="50">
        <v>14750000</v>
      </c>
      <c r="J19" s="81">
        <v>14750000</v>
      </c>
      <c r="K19" s="50">
        <v>0</v>
      </c>
      <c r="L19" s="50">
        <v>23510000</v>
      </c>
      <c r="M19" s="81">
        <v>23510000</v>
      </c>
      <c r="N19" s="102">
        <v>49238000</v>
      </c>
    </row>
    <row r="20" spans="1:14" s="44" customFormat="1" ht="11.25" hidden="1" outlineLevel="1" collapsed="1" x14ac:dyDescent="0.2">
      <c r="A20" s="41"/>
      <c r="B20" s="42" t="s">
        <v>99</v>
      </c>
      <c r="C20" s="43"/>
      <c r="D20" s="75">
        <v>360000</v>
      </c>
      <c r="E20" s="50">
        <v>0</v>
      </c>
      <c r="F20" s="50">
        <v>1225000</v>
      </c>
      <c r="G20" s="81">
        <v>1225000</v>
      </c>
      <c r="H20" s="50">
        <v>0</v>
      </c>
      <c r="I20" s="50">
        <v>1000000</v>
      </c>
      <c r="J20" s="81">
        <v>1000000</v>
      </c>
      <c r="K20" s="50">
        <v>0</v>
      </c>
      <c r="L20" s="50">
        <v>1200000</v>
      </c>
      <c r="M20" s="81">
        <v>1200000</v>
      </c>
      <c r="N20" s="102">
        <v>3785000</v>
      </c>
    </row>
    <row r="21" spans="1:14" s="44" customFormat="1" ht="11.25" hidden="1" outlineLevel="2" x14ac:dyDescent="0.2">
      <c r="A21" s="41"/>
      <c r="B21" s="42"/>
      <c r="C21" s="43" t="s">
        <v>34</v>
      </c>
      <c r="D21" s="75"/>
      <c r="E21" s="50">
        <v>0</v>
      </c>
      <c r="F21" s="50">
        <v>1225000</v>
      </c>
      <c r="G21" s="81">
        <v>1225000</v>
      </c>
      <c r="H21" s="50">
        <v>0</v>
      </c>
      <c r="I21" s="50">
        <v>1000000</v>
      </c>
      <c r="J21" s="81">
        <v>1000000</v>
      </c>
      <c r="K21" s="50">
        <v>0</v>
      </c>
      <c r="L21" s="50">
        <v>1200000</v>
      </c>
      <c r="M21" s="81">
        <v>1200000</v>
      </c>
      <c r="N21" s="102">
        <v>3425000</v>
      </c>
    </row>
    <row r="22" spans="1:14" x14ac:dyDescent="0.25">
      <c r="A22" s="64" t="s">
        <v>45</v>
      </c>
      <c r="B22" s="2"/>
      <c r="C22" s="12"/>
      <c r="D22" s="16">
        <v>1513445.09</v>
      </c>
      <c r="E22" s="21">
        <v>1182716</v>
      </c>
      <c r="F22" s="21">
        <v>1915934</v>
      </c>
      <c r="G22" s="21">
        <v>733218</v>
      </c>
      <c r="H22" s="21">
        <v>1524406</v>
      </c>
      <c r="I22" s="21">
        <v>40010</v>
      </c>
      <c r="J22" s="21">
        <v>-1484396</v>
      </c>
      <c r="K22" s="21">
        <v>1524406</v>
      </c>
      <c r="L22" s="21">
        <v>0</v>
      </c>
      <c r="M22" s="21">
        <v>-1524406</v>
      </c>
      <c r="N22" s="65">
        <v>-762139</v>
      </c>
    </row>
    <row r="23" spans="1:14" collapsed="1" x14ac:dyDescent="0.25">
      <c r="A23" s="28" t="s">
        <v>23</v>
      </c>
      <c r="B23" s="3"/>
      <c r="C23" s="13"/>
      <c r="D23" s="18">
        <v>1022712</v>
      </c>
      <c r="E23" s="23">
        <v>0</v>
      </c>
      <c r="F23" s="23">
        <v>186310</v>
      </c>
      <c r="G23" s="60">
        <v>186310</v>
      </c>
      <c r="H23" s="23">
        <v>0</v>
      </c>
      <c r="I23" s="23">
        <v>40010</v>
      </c>
      <c r="J23" s="60">
        <v>40010</v>
      </c>
      <c r="K23" s="23"/>
      <c r="L23" s="23"/>
      <c r="M23" s="60"/>
      <c r="N23" s="67">
        <v>1249032</v>
      </c>
    </row>
    <row r="24" spans="1:14" s="37" customFormat="1" ht="11.25" hidden="1" outlineLevel="1" collapsed="1" x14ac:dyDescent="0.2">
      <c r="A24" s="34"/>
      <c r="B24" s="35" t="s">
        <v>8</v>
      </c>
      <c r="C24" s="36"/>
      <c r="D24" s="73">
        <v>1022712</v>
      </c>
      <c r="E24" s="48">
        <v>0</v>
      </c>
      <c r="F24" s="48">
        <v>186310</v>
      </c>
      <c r="G24" s="79">
        <v>186310</v>
      </c>
      <c r="H24" s="48">
        <v>0</v>
      </c>
      <c r="I24" s="48">
        <v>40010</v>
      </c>
      <c r="J24" s="79">
        <v>40010</v>
      </c>
      <c r="K24" s="48"/>
      <c r="L24" s="48"/>
      <c r="M24" s="79"/>
      <c r="N24" s="100">
        <v>1249032</v>
      </c>
    </row>
    <row r="25" spans="1:14" s="37" customFormat="1" ht="11.25" hidden="1" outlineLevel="2" x14ac:dyDescent="0.2">
      <c r="A25" s="34"/>
      <c r="B25" s="35"/>
      <c r="C25" s="36" t="s">
        <v>34</v>
      </c>
      <c r="D25" s="73"/>
      <c r="E25" s="48">
        <v>0</v>
      </c>
      <c r="F25" s="48">
        <v>186310</v>
      </c>
      <c r="G25" s="79">
        <v>186310</v>
      </c>
      <c r="H25" s="48">
        <v>0</v>
      </c>
      <c r="I25" s="48">
        <v>40010</v>
      </c>
      <c r="J25" s="79">
        <v>40010</v>
      </c>
      <c r="K25" s="48"/>
      <c r="L25" s="48"/>
      <c r="M25" s="79"/>
      <c r="N25" s="100">
        <v>226320</v>
      </c>
    </row>
    <row r="26" spans="1:14" collapsed="1" x14ac:dyDescent="0.25">
      <c r="A26" s="28" t="s">
        <v>55</v>
      </c>
      <c r="B26" s="3"/>
      <c r="C26" s="13"/>
      <c r="D26" s="18">
        <v>29144</v>
      </c>
      <c r="E26" s="23">
        <v>8310</v>
      </c>
      <c r="F26" s="23">
        <v>0</v>
      </c>
      <c r="G26" s="60">
        <v>-8310</v>
      </c>
      <c r="H26" s="23">
        <v>1079406</v>
      </c>
      <c r="I26" s="23">
        <v>0</v>
      </c>
      <c r="J26" s="60">
        <v>-1079406</v>
      </c>
      <c r="K26" s="23">
        <v>350000</v>
      </c>
      <c r="L26" s="23">
        <v>0</v>
      </c>
      <c r="M26" s="60">
        <v>-350000</v>
      </c>
      <c r="N26" s="94">
        <v>-1408572</v>
      </c>
    </row>
    <row r="27" spans="1:14" s="37" customFormat="1" ht="11.25" hidden="1" outlineLevel="1" collapsed="1" x14ac:dyDescent="0.2">
      <c r="A27" s="34"/>
      <c r="B27" s="35" t="s">
        <v>7</v>
      </c>
      <c r="C27" s="36"/>
      <c r="D27" s="73">
        <v>29144</v>
      </c>
      <c r="E27" s="48">
        <v>8310</v>
      </c>
      <c r="F27" s="48">
        <v>0</v>
      </c>
      <c r="G27" s="79">
        <v>-8310</v>
      </c>
      <c r="H27" s="48">
        <v>1079406</v>
      </c>
      <c r="I27" s="48">
        <v>0</v>
      </c>
      <c r="J27" s="79">
        <v>-1079406</v>
      </c>
      <c r="K27" s="48">
        <v>350000</v>
      </c>
      <c r="L27" s="48">
        <v>0</v>
      </c>
      <c r="M27" s="79">
        <v>-350000</v>
      </c>
      <c r="N27" s="100">
        <v>-1408572</v>
      </c>
    </row>
    <row r="28" spans="1:14" s="37" customFormat="1" ht="11.25" hidden="1" outlineLevel="2" x14ac:dyDescent="0.2">
      <c r="A28" s="34"/>
      <c r="B28" s="35"/>
      <c r="C28" s="36">
        <v>34</v>
      </c>
      <c r="D28" s="73"/>
      <c r="E28" s="48">
        <v>8310</v>
      </c>
      <c r="F28" s="48">
        <v>0</v>
      </c>
      <c r="G28" s="79">
        <v>-8310</v>
      </c>
      <c r="H28" s="48"/>
      <c r="I28" s="48"/>
      <c r="J28" s="79"/>
      <c r="K28" s="48"/>
      <c r="L28" s="48"/>
      <c r="M28" s="79"/>
      <c r="N28" s="100">
        <v>-8310</v>
      </c>
    </row>
    <row r="29" spans="1:14" s="37" customFormat="1" ht="11.25" hidden="1" outlineLevel="2" x14ac:dyDescent="0.2">
      <c r="A29" s="34"/>
      <c r="B29" s="35"/>
      <c r="C29" s="36">
        <v>38</v>
      </c>
      <c r="D29" s="73"/>
      <c r="E29" s="48"/>
      <c r="F29" s="48"/>
      <c r="G29" s="79"/>
      <c r="H29" s="48">
        <v>1079406</v>
      </c>
      <c r="I29" s="48">
        <v>0</v>
      </c>
      <c r="J29" s="79">
        <v>-1079406</v>
      </c>
      <c r="K29" s="48">
        <v>350000</v>
      </c>
      <c r="L29" s="48">
        <v>0</v>
      </c>
      <c r="M29" s="79">
        <v>-350000</v>
      </c>
      <c r="N29" s="100">
        <v>-1429406</v>
      </c>
    </row>
    <row r="30" spans="1:14" s="40" customFormat="1" collapsed="1" x14ac:dyDescent="0.25">
      <c r="A30" s="39" t="s">
        <v>101</v>
      </c>
      <c r="B30" s="45"/>
      <c r="C30" s="46"/>
      <c r="D30" s="74">
        <v>7400000</v>
      </c>
      <c r="E30" s="49">
        <v>0</v>
      </c>
      <c r="F30" s="49">
        <v>7500000</v>
      </c>
      <c r="G30" s="80">
        <v>7500000</v>
      </c>
      <c r="H30" s="49">
        <v>0</v>
      </c>
      <c r="I30" s="49">
        <v>4153000</v>
      </c>
      <c r="J30" s="80">
        <v>4153000</v>
      </c>
      <c r="K30" s="49">
        <v>0</v>
      </c>
      <c r="L30" s="49">
        <v>595000</v>
      </c>
      <c r="M30" s="80">
        <v>595000</v>
      </c>
      <c r="N30" s="103">
        <v>19648000</v>
      </c>
    </row>
    <row r="31" spans="1:14" s="44" customFormat="1" ht="11.25" hidden="1" outlineLevel="1" collapsed="1" x14ac:dyDescent="0.2">
      <c r="A31" s="41"/>
      <c r="B31" s="42" t="s">
        <v>96</v>
      </c>
      <c r="C31" s="43"/>
      <c r="D31" s="75">
        <v>7400000</v>
      </c>
      <c r="E31" s="50">
        <v>0</v>
      </c>
      <c r="F31" s="50">
        <v>7500000</v>
      </c>
      <c r="G31" s="81">
        <v>7500000</v>
      </c>
      <c r="H31" s="50">
        <v>0</v>
      </c>
      <c r="I31" s="50">
        <v>4153000</v>
      </c>
      <c r="J31" s="81">
        <v>4153000</v>
      </c>
      <c r="K31" s="50">
        <v>0</v>
      </c>
      <c r="L31" s="50">
        <v>595000</v>
      </c>
      <c r="M31" s="81">
        <v>595000</v>
      </c>
      <c r="N31" s="104">
        <v>19648000</v>
      </c>
    </row>
    <row r="32" spans="1:14" s="44" customFormat="1" ht="11.25" hidden="1" outlineLevel="2" x14ac:dyDescent="0.2">
      <c r="A32" s="41"/>
      <c r="B32" s="42"/>
      <c r="C32" s="43" t="s">
        <v>34</v>
      </c>
      <c r="D32" s="75"/>
      <c r="E32" s="50">
        <v>0</v>
      </c>
      <c r="F32" s="50">
        <v>7500000</v>
      </c>
      <c r="G32" s="81">
        <v>7500000</v>
      </c>
      <c r="H32" s="50">
        <v>0</v>
      </c>
      <c r="I32" s="50">
        <v>4153000</v>
      </c>
      <c r="J32" s="81">
        <v>4153000</v>
      </c>
      <c r="K32" s="50">
        <v>0</v>
      </c>
      <c r="L32" s="50">
        <v>595000</v>
      </c>
      <c r="M32" s="81">
        <v>595000</v>
      </c>
      <c r="N32" s="104">
        <v>12248000</v>
      </c>
    </row>
    <row r="33" spans="1:14" collapsed="1" x14ac:dyDescent="0.25">
      <c r="A33" s="28" t="s">
        <v>29</v>
      </c>
      <c r="B33" s="3"/>
      <c r="C33" s="13"/>
      <c r="D33" s="18">
        <v>461589.09</v>
      </c>
      <c r="E33" s="23">
        <v>1174406</v>
      </c>
      <c r="F33" s="23">
        <v>1729624</v>
      </c>
      <c r="G33" s="60">
        <v>555218</v>
      </c>
      <c r="H33" s="23">
        <v>445000</v>
      </c>
      <c r="I33" s="23">
        <v>0</v>
      </c>
      <c r="J33" s="60">
        <v>-445000</v>
      </c>
      <c r="K33" s="23">
        <v>1174406</v>
      </c>
      <c r="L33" s="23">
        <v>0</v>
      </c>
      <c r="M33" s="60">
        <v>-1174406</v>
      </c>
      <c r="N33" s="94">
        <v>-602599</v>
      </c>
    </row>
    <row r="34" spans="1:14" s="37" customFormat="1" ht="11.25" hidden="1" outlineLevel="1" collapsed="1" x14ac:dyDescent="0.2">
      <c r="A34" s="34"/>
      <c r="B34" s="35" t="s">
        <v>6</v>
      </c>
      <c r="C34" s="36"/>
      <c r="D34" s="73">
        <v>126686.01000000001</v>
      </c>
      <c r="E34" s="48">
        <v>95000</v>
      </c>
      <c r="F34" s="48">
        <v>370554</v>
      </c>
      <c r="G34" s="79">
        <v>275554</v>
      </c>
      <c r="H34" s="48">
        <v>95000</v>
      </c>
      <c r="I34" s="48">
        <v>0</v>
      </c>
      <c r="J34" s="79">
        <v>-95000</v>
      </c>
      <c r="K34" s="48">
        <v>95000</v>
      </c>
      <c r="L34" s="48">
        <v>0</v>
      </c>
      <c r="M34" s="79">
        <v>-95000</v>
      </c>
      <c r="N34" s="100">
        <v>212240</v>
      </c>
    </row>
    <row r="35" spans="1:14" s="37" customFormat="1" ht="11.25" hidden="1" outlineLevel="2" x14ac:dyDescent="0.2">
      <c r="A35" s="34"/>
      <c r="B35" s="35"/>
      <c r="C35" s="36" t="s">
        <v>30</v>
      </c>
      <c r="D35" s="73"/>
      <c r="E35" s="48">
        <v>0</v>
      </c>
      <c r="F35" s="48">
        <v>15374</v>
      </c>
      <c r="G35" s="79">
        <v>15374</v>
      </c>
      <c r="H35" s="48"/>
      <c r="I35" s="48"/>
      <c r="J35" s="79"/>
      <c r="K35" s="48"/>
      <c r="L35" s="48"/>
      <c r="M35" s="79"/>
      <c r="N35" s="100">
        <v>15374</v>
      </c>
    </row>
    <row r="36" spans="1:14" s="37" customFormat="1" ht="11.25" hidden="1" outlineLevel="2" x14ac:dyDescent="0.2">
      <c r="A36" s="34"/>
      <c r="B36" s="35"/>
      <c r="C36" s="36" t="s">
        <v>35</v>
      </c>
      <c r="D36" s="73"/>
      <c r="E36" s="48">
        <v>95000</v>
      </c>
      <c r="F36" s="48">
        <v>0</v>
      </c>
      <c r="G36" s="79">
        <v>-95000</v>
      </c>
      <c r="H36" s="48">
        <v>95000</v>
      </c>
      <c r="I36" s="48">
        <v>0</v>
      </c>
      <c r="J36" s="79">
        <v>-95000</v>
      </c>
      <c r="K36" s="48">
        <v>95000</v>
      </c>
      <c r="L36" s="48">
        <v>0</v>
      </c>
      <c r="M36" s="79">
        <v>-95000</v>
      </c>
      <c r="N36" s="100">
        <v>-285000</v>
      </c>
    </row>
    <row r="37" spans="1:14" s="37" customFormat="1" ht="11.25" hidden="1" outlineLevel="2" x14ac:dyDescent="0.2">
      <c r="A37" s="34"/>
      <c r="B37" s="35"/>
      <c r="C37" s="36" t="s">
        <v>31</v>
      </c>
      <c r="D37" s="73"/>
      <c r="E37" s="48">
        <v>0</v>
      </c>
      <c r="F37" s="48">
        <v>350000</v>
      </c>
      <c r="G37" s="79">
        <v>350000</v>
      </c>
      <c r="H37" s="48"/>
      <c r="I37" s="48"/>
      <c r="J37" s="79"/>
      <c r="K37" s="48"/>
      <c r="L37" s="48"/>
      <c r="M37" s="79"/>
      <c r="N37" s="100">
        <v>350000</v>
      </c>
    </row>
    <row r="38" spans="1:14" s="37" customFormat="1" ht="11.25" hidden="1" outlineLevel="2" x14ac:dyDescent="0.2">
      <c r="A38" s="34"/>
      <c r="B38" s="35"/>
      <c r="C38" s="36" t="s">
        <v>32</v>
      </c>
      <c r="D38" s="73"/>
      <c r="E38" s="48">
        <v>0</v>
      </c>
      <c r="F38" s="48">
        <v>5180</v>
      </c>
      <c r="G38" s="79">
        <v>5180</v>
      </c>
      <c r="H38" s="48"/>
      <c r="I38" s="48"/>
      <c r="J38" s="79"/>
      <c r="K38" s="48"/>
      <c r="L38" s="48"/>
      <c r="M38" s="79"/>
      <c r="N38" s="100">
        <v>5180</v>
      </c>
    </row>
    <row r="39" spans="1:14" s="37" customFormat="1" ht="11.25" hidden="1" outlineLevel="1" collapsed="1" x14ac:dyDescent="0.2">
      <c r="A39" s="34"/>
      <c r="B39" s="35" t="s">
        <v>7</v>
      </c>
      <c r="C39" s="36"/>
      <c r="D39" s="73">
        <v>334903.08</v>
      </c>
      <c r="E39" s="48">
        <v>1079406</v>
      </c>
      <c r="F39" s="48">
        <v>1359070</v>
      </c>
      <c r="G39" s="79">
        <v>279664</v>
      </c>
      <c r="H39" s="48">
        <v>350000</v>
      </c>
      <c r="I39" s="48">
        <v>0</v>
      </c>
      <c r="J39" s="79">
        <v>-350000</v>
      </c>
      <c r="K39" s="48">
        <v>1079406</v>
      </c>
      <c r="L39" s="48">
        <v>0</v>
      </c>
      <c r="M39" s="79">
        <v>-1079406</v>
      </c>
      <c r="N39" s="100">
        <v>-814839</v>
      </c>
    </row>
    <row r="40" spans="1:14" s="37" customFormat="1" ht="11.25" hidden="1" outlineLevel="2" x14ac:dyDescent="0.2">
      <c r="A40" s="34"/>
      <c r="B40" s="35"/>
      <c r="C40" s="36">
        <v>34</v>
      </c>
      <c r="D40" s="73"/>
      <c r="E40" s="48">
        <v>0</v>
      </c>
      <c r="F40" s="48">
        <v>1359070</v>
      </c>
      <c r="G40" s="79">
        <v>1359070</v>
      </c>
      <c r="H40" s="48"/>
      <c r="I40" s="48"/>
      <c r="J40" s="79"/>
      <c r="K40" s="48"/>
      <c r="L40" s="48"/>
      <c r="M40" s="79"/>
      <c r="N40" s="100">
        <v>1359070</v>
      </c>
    </row>
    <row r="41" spans="1:14" s="37" customFormat="1" ht="11.25" hidden="1" outlineLevel="2" x14ac:dyDescent="0.2">
      <c r="A41" s="34"/>
      <c r="B41" s="35"/>
      <c r="C41" s="36" t="s">
        <v>33</v>
      </c>
      <c r="D41" s="73"/>
      <c r="E41" s="48">
        <v>1079406</v>
      </c>
      <c r="F41" s="48">
        <v>0</v>
      </c>
      <c r="G41" s="79">
        <v>-1079406</v>
      </c>
      <c r="H41" s="48">
        <v>350000</v>
      </c>
      <c r="I41" s="48">
        <v>0</v>
      </c>
      <c r="J41" s="79">
        <v>-350000</v>
      </c>
      <c r="K41" s="48">
        <v>1079406</v>
      </c>
      <c r="L41" s="48">
        <v>0</v>
      </c>
      <c r="M41" s="79">
        <v>-1079406</v>
      </c>
      <c r="N41" s="100">
        <v>-2508812</v>
      </c>
    </row>
    <row r="42" spans="1:14" x14ac:dyDescent="0.25">
      <c r="A42" s="64" t="s">
        <v>46</v>
      </c>
      <c r="B42" s="2"/>
      <c r="C42" s="12"/>
      <c r="D42" s="16">
        <f>D3-D22</f>
        <v>-1473943.09</v>
      </c>
      <c r="E42" s="21">
        <f>E3-E22</f>
        <v>-1171518</v>
      </c>
      <c r="F42" s="21">
        <f>F3-F22</f>
        <v>-139981</v>
      </c>
      <c r="G42" s="21">
        <f>E42-F42</f>
        <v>-1031537</v>
      </c>
      <c r="H42" s="21">
        <f>H3-H22</f>
        <v>-1524406</v>
      </c>
      <c r="I42" s="21">
        <f>I3-I22</f>
        <v>6757</v>
      </c>
      <c r="J42" s="21">
        <f>H42-I42</f>
        <v>-1531163</v>
      </c>
      <c r="K42" s="21">
        <f>K3-K22</f>
        <v>409425</v>
      </c>
      <c r="L42" s="21">
        <f>L3-L22</f>
        <v>0</v>
      </c>
      <c r="M42" s="21">
        <f>K42-L42</f>
        <v>409425</v>
      </c>
      <c r="N42" s="68">
        <f>N3-N22</f>
        <v>679332</v>
      </c>
    </row>
    <row r="43" spans="1:14" x14ac:dyDescent="0.25">
      <c r="A43" s="28" t="s">
        <v>47</v>
      </c>
      <c r="B43" s="3"/>
      <c r="C43" s="13"/>
      <c r="D43" s="6"/>
      <c r="E43" s="23">
        <v>235235</v>
      </c>
      <c r="F43" s="23">
        <v>235235</v>
      </c>
      <c r="G43" s="62"/>
      <c r="H43" s="23">
        <v>-936283</v>
      </c>
      <c r="I43" s="23">
        <v>95254</v>
      </c>
      <c r="J43" s="62"/>
      <c r="K43" s="23">
        <v>-2460689</v>
      </c>
      <c r="L43" s="23">
        <v>102011</v>
      </c>
      <c r="M43" s="62"/>
      <c r="N43" s="69"/>
    </row>
    <row r="44" spans="1:14" ht="15.75" thickBot="1" x14ac:dyDescent="0.3">
      <c r="A44" s="4" t="s">
        <v>48</v>
      </c>
      <c r="B44" s="5"/>
      <c r="C44" s="14"/>
      <c r="D44" s="7"/>
      <c r="E44" s="24">
        <f>E42+E43</f>
        <v>-936283</v>
      </c>
      <c r="F44" s="24">
        <f t="shared" ref="F44" si="0">F42+F43</f>
        <v>95254</v>
      </c>
      <c r="G44" s="24"/>
      <c r="H44" s="24">
        <f>H42+H43</f>
        <v>-2460689</v>
      </c>
      <c r="I44" s="24">
        <f t="shared" ref="I44" si="1">I42+I43</f>
        <v>102011</v>
      </c>
      <c r="J44" s="24"/>
      <c r="K44" s="24">
        <f>K42+K43</f>
        <v>-2051264</v>
      </c>
      <c r="L44" s="24">
        <f t="shared" ref="L44" si="2">L42+L43</f>
        <v>102011</v>
      </c>
      <c r="M44" s="24"/>
      <c r="N44" s="70"/>
    </row>
    <row r="45" spans="1:14" ht="15.75" collapsed="1" thickBot="1" x14ac:dyDescent="0.3">
      <c r="A45" s="29" t="s">
        <v>94</v>
      </c>
      <c r="B45" s="30"/>
      <c r="C45" s="31"/>
      <c r="D45" s="71">
        <v>-7050000</v>
      </c>
      <c r="E45" s="76">
        <v>0</v>
      </c>
      <c r="F45" s="51">
        <v>-19253000</v>
      </c>
      <c r="G45" s="51">
        <v>-19253000</v>
      </c>
      <c r="H45" s="76">
        <v>0</v>
      </c>
      <c r="I45" s="51">
        <v>-35003000</v>
      </c>
      <c r="J45" s="51">
        <v>-35003000</v>
      </c>
      <c r="K45" s="76">
        <v>0</v>
      </c>
      <c r="L45" s="51">
        <v>-61368499</v>
      </c>
      <c r="M45" s="51">
        <v>-61368499</v>
      </c>
      <c r="N45" s="96"/>
    </row>
    <row r="46" spans="1:14" hidden="1" outlineLevel="1" collapsed="1" x14ac:dyDescent="0.25">
      <c r="A46" s="28" t="s">
        <v>100</v>
      </c>
      <c r="B46" s="32"/>
      <c r="C46" s="32"/>
      <c r="D46" s="17"/>
      <c r="E46" s="77">
        <v>0</v>
      </c>
      <c r="F46" s="52">
        <v>0</v>
      </c>
      <c r="G46" s="52">
        <v>0</v>
      </c>
      <c r="H46" s="77">
        <v>0</v>
      </c>
      <c r="I46" s="52">
        <v>0</v>
      </c>
      <c r="J46" s="52">
        <v>0</v>
      </c>
      <c r="K46" s="77">
        <v>0</v>
      </c>
      <c r="L46" s="52">
        <v>-4499</v>
      </c>
      <c r="M46" s="52">
        <v>-4499</v>
      </c>
      <c r="N46" s="97"/>
    </row>
    <row r="47" spans="1:14" hidden="1" outlineLevel="2" x14ac:dyDescent="0.25">
      <c r="A47" s="28"/>
      <c r="B47" s="32" t="s">
        <v>34</v>
      </c>
      <c r="C47" s="32"/>
      <c r="D47" s="17"/>
      <c r="E47" s="77">
        <v>0</v>
      </c>
      <c r="F47" s="52">
        <v>0</v>
      </c>
      <c r="G47" s="52">
        <v>0</v>
      </c>
      <c r="H47" s="77">
        <v>0</v>
      </c>
      <c r="I47" s="52">
        <v>0</v>
      </c>
      <c r="J47" s="52">
        <v>0</v>
      </c>
      <c r="K47" s="77">
        <v>0</v>
      </c>
      <c r="L47" s="52">
        <v>-4499</v>
      </c>
      <c r="M47" s="52">
        <v>-4499</v>
      </c>
      <c r="N47" s="97"/>
    </row>
    <row r="48" spans="1:14" hidden="1" outlineLevel="1" collapsed="1" x14ac:dyDescent="0.25">
      <c r="A48" s="28" t="s">
        <v>96</v>
      </c>
      <c r="B48" s="32"/>
      <c r="C48" s="32"/>
      <c r="D48" s="17">
        <v>7400000</v>
      </c>
      <c r="E48" s="77">
        <v>0</v>
      </c>
      <c r="F48" s="52">
        <v>14900000</v>
      </c>
      <c r="G48" s="52">
        <v>14900000</v>
      </c>
      <c r="H48" s="77">
        <v>0</v>
      </c>
      <c r="I48" s="52">
        <v>19053000</v>
      </c>
      <c r="J48" s="52">
        <v>19053000</v>
      </c>
      <c r="K48" s="77">
        <v>0</v>
      </c>
      <c r="L48" s="52">
        <v>19648000</v>
      </c>
      <c r="M48" s="52">
        <v>19648000</v>
      </c>
      <c r="N48" s="97"/>
    </row>
    <row r="49" spans="1:14" hidden="1" outlineLevel="2" x14ac:dyDescent="0.25">
      <c r="A49" s="28"/>
      <c r="B49" s="32" t="s">
        <v>34</v>
      </c>
      <c r="C49" s="32"/>
      <c r="D49" s="17">
        <v>7400000</v>
      </c>
      <c r="E49" s="77">
        <v>0</v>
      </c>
      <c r="F49" s="52">
        <v>14900000</v>
      </c>
      <c r="G49" s="52">
        <v>14900000</v>
      </c>
      <c r="H49" s="77">
        <v>0</v>
      </c>
      <c r="I49" s="52">
        <v>19053000</v>
      </c>
      <c r="J49" s="52">
        <v>19053000</v>
      </c>
      <c r="K49" s="77">
        <v>0</v>
      </c>
      <c r="L49" s="52">
        <v>19648000</v>
      </c>
      <c r="M49" s="52">
        <v>19648000</v>
      </c>
      <c r="N49" s="97"/>
    </row>
    <row r="50" spans="1:14" hidden="1" outlineLevel="1" collapsed="1" x14ac:dyDescent="0.25">
      <c r="A50" s="28" t="s">
        <v>95</v>
      </c>
      <c r="B50" s="32"/>
      <c r="C50" s="32"/>
      <c r="D50" s="17">
        <v>-7400000</v>
      </c>
      <c r="E50" s="77">
        <v>0</v>
      </c>
      <c r="F50" s="52">
        <v>-14900000</v>
      </c>
      <c r="G50" s="52">
        <v>-14900000</v>
      </c>
      <c r="H50" s="77">
        <v>0</v>
      </c>
      <c r="I50" s="52">
        <v>-19053000</v>
      </c>
      <c r="J50" s="52">
        <v>-19053000</v>
      </c>
      <c r="K50" s="77">
        <v>0</v>
      </c>
      <c r="L50" s="52">
        <v>-21299000</v>
      </c>
      <c r="M50" s="52">
        <v>-21299000</v>
      </c>
      <c r="N50" s="97"/>
    </row>
    <row r="51" spans="1:14" hidden="1" outlineLevel="2" x14ac:dyDescent="0.25">
      <c r="A51" s="28"/>
      <c r="B51" s="32" t="s">
        <v>34</v>
      </c>
      <c r="C51" s="32"/>
      <c r="D51" s="17">
        <v>-7400000</v>
      </c>
      <c r="E51" s="77">
        <v>0</v>
      </c>
      <c r="F51" s="52">
        <v>-14900000</v>
      </c>
      <c r="G51" s="52">
        <v>-14900000</v>
      </c>
      <c r="H51" s="77">
        <v>0</v>
      </c>
      <c r="I51" s="52">
        <v>-19053000</v>
      </c>
      <c r="J51" s="52">
        <v>-19053000</v>
      </c>
      <c r="K51" s="77">
        <v>0</v>
      </c>
      <c r="L51" s="52">
        <v>-21299000</v>
      </c>
      <c r="M51" s="52">
        <v>-21299000</v>
      </c>
      <c r="N51" s="97"/>
    </row>
    <row r="52" spans="1:14" hidden="1" outlineLevel="1" collapsed="1" x14ac:dyDescent="0.25">
      <c r="A52" s="28" t="s">
        <v>97</v>
      </c>
      <c r="B52" s="32"/>
      <c r="C52" s="32"/>
      <c r="D52" s="17">
        <v>-6690000</v>
      </c>
      <c r="E52" s="77">
        <v>0</v>
      </c>
      <c r="F52" s="52">
        <v>-17668000</v>
      </c>
      <c r="G52" s="52">
        <v>-17668000</v>
      </c>
      <c r="H52" s="77">
        <v>0</v>
      </c>
      <c r="I52" s="52">
        <v>-32418000</v>
      </c>
      <c r="J52" s="52">
        <v>-32418000</v>
      </c>
      <c r="K52" s="77">
        <v>0</v>
      </c>
      <c r="L52" s="52">
        <v>-55928000</v>
      </c>
      <c r="M52" s="52">
        <v>-55928000</v>
      </c>
      <c r="N52" s="97"/>
    </row>
    <row r="53" spans="1:14" hidden="1" outlineLevel="2" x14ac:dyDescent="0.25">
      <c r="A53" s="28"/>
      <c r="B53" s="32" t="s">
        <v>98</v>
      </c>
      <c r="C53" s="32"/>
      <c r="D53" s="17">
        <v>-6690000</v>
      </c>
      <c r="E53" s="77">
        <v>0</v>
      </c>
      <c r="F53" s="52">
        <v>-17668000</v>
      </c>
      <c r="G53" s="52">
        <v>-17668000</v>
      </c>
      <c r="H53" s="77">
        <v>0</v>
      </c>
      <c r="I53" s="52">
        <v>-32418000</v>
      </c>
      <c r="J53" s="52">
        <v>-32418000</v>
      </c>
      <c r="K53" s="77">
        <v>0</v>
      </c>
      <c r="L53" s="52">
        <v>-55928000</v>
      </c>
      <c r="M53" s="52">
        <v>-55928000</v>
      </c>
      <c r="N53" s="97"/>
    </row>
    <row r="54" spans="1:14" ht="15.75" hidden="1" outlineLevel="1" collapsed="1" thickBot="1" x14ac:dyDescent="0.3">
      <c r="A54" s="28" t="s">
        <v>99</v>
      </c>
      <c r="B54" s="32"/>
      <c r="C54" s="32"/>
      <c r="D54" s="17">
        <v>-360000</v>
      </c>
      <c r="E54" s="77">
        <v>0</v>
      </c>
      <c r="F54" s="52">
        <v>-1585000</v>
      </c>
      <c r="G54" s="52">
        <v>-1585000</v>
      </c>
      <c r="H54" s="77">
        <v>0</v>
      </c>
      <c r="I54" s="52">
        <v>-2585000</v>
      </c>
      <c r="J54" s="52">
        <v>-2585000</v>
      </c>
      <c r="K54" s="77">
        <v>0</v>
      </c>
      <c r="L54" s="52">
        <v>-3785000</v>
      </c>
      <c r="M54" s="52">
        <v>-3785000</v>
      </c>
      <c r="N54" s="97"/>
    </row>
    <row r="55" spans="1:14" ht="15.75" hidden="1" outlineLevel="2" thickBot="1" x14ac:dyDescent="0.3">
      <c r="A55" s="4"/>
      <c r="B55" s="33" t="s">
        <v>34</v>
      </c>
      <c r="C55" s="33"/>
      <c r="D55" s="72">
        <v>-360000</v>
      </c>
      <c r="E55" s="78">
        <v>0</v>
      </c>
      <c r="F55" s="53">
        <v>-1585000</v>
      </c>
      <c r="G55" s="53">
        <v>-1585000</v>
      </c>
      <c r="H55" s="78">
        <v>0</v>
      </c>
      <c r="I55" s="53">
        <v>-2585000</v>
      </c>
      <c r="J55" s="53">
        <v>-2585000</v>
      </c>
      <c r="K55" s="78">
        <v>0</v>
      </c>
      <c r="L55" s="53">
        <v>-3785000</v>
      </c>
      <c r="M55" s="53">
        <v>-3785000</v>
      </c>
      <c r="N55" s="98"/>
    </row>
    <row r="56" spans="1:14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</row>
    <row r="9089" ht="46.5" customHeight="1" x14ac:dyDescent="0.25"/>
  </sheetData>
  <dataConsolidate/>
  <mergeCells count="7">
    <mergeCell ref="N1:N2"/>
    <mergeCell ref="H1:J1"/>
    <mergeCell ref="E1:G1"/>
    <mergeCell ref="A1:C1"/>
    <mergeCell ref="A2:C2"/>
    <mergeCell ref="K1:M1"/>
    <mergeCell ref="D1:D2"/>
  </mergeCells>
  <conditionalFormatting sqref="K4:K21">
    <cfRule type="expression" priority="3">
      <formula>$A$4=""</formula>
    </cfRule>
  </conditionalFormatting>
  <conditionalFormatting sqref="H4:H21">
    <cfRule type="expression" priority="2">
      <formula>$A$4=""</formula>
    </cfRule>
  </conditionalFormatting>
  <conditionalFormatting sqref="E4:E21">
    <cfRule type="expression" priority="1">
      <formula>$A$4=""</formula>
    </cfRule>
  </conditionalFormatting>
  <pageMargins left="0.70866141732283472" right="0.70866141732283472" top="0.74803149606299213" bottom="0.74803149606299213" header="0.31496062992125984" footer="0.31496062992125984"/>
  <pageSetup paperSize="9" scale="68" orientation="landscape" r:id="rId1"/>
  <colBreaks count="309" manualBreakCount="309">
    <brk id="96" max="1048575" man="1"/>
    <brk id="105" max="1048575" man="1"/>
    <brk id="114" max="1048575" man="1"/>
    <brk id="123" max="1048575" man="1"/>
    <brk id="132" max="1048575" man="1"/>
    <brk id="141" max="1048575" man="1"/>
    <brk id="155" max="1048575" man="1"/>
    <brk id="163" max="1048575" man="1"/>
    <brk id="171" max="1048575" man="1"/>
    <brk id="192" max="1048575" man="1"/>
    <brk id="205" max="1048575" man="1"/>
    <brk id="218" max="1048575" man="1"/>
    <brk id="231" max="1048575" man="1"/>
    <brk id="244" max="1048575" man="1"/>
    <brk id="263" max="1048575" man="1"/>
    <brk id="278" max="1048575" man="1"/>
    <brk id="293" max="1048575" man="1"/>
    <brk id="310" max="1048575" man="1"/>
    <brk id="325" max="1048575" man="1"/>
    <brk id="340" max="1048575" man="1"/>
    <brk id="357" max="1048575" man="1"/>
    <brk id="372" max="1048575" man="1"/>
    <brk id="387" max="1048575" man="1"/>
    <brk id="404" max="1048575" man="1"/>
    <brk id="419" max="1048575" man="1"/>
    <brk id="434" max="1048575" man="1"/>
    <brk id="445" max="1048575" man="1"/>
    <brk id="464" max="1048575" man="1"/>
    <brk id="479" max="1048575" man="1"/>
    <brk id="494" max="1048575" man="1"/>
    <brk id="505" max="1048575" man="1"/>
    <brk id="514" max="1048575" man="1"/>
    <brk id="529" max="1048575" man="1"/>
    <brk id="544" max="1048575" man="1"/>
    <brk id="559" max="1048575" man="1"/>
    <brk id="573" max="1048575" man="1"/>
    <brk id="588" max="1048575" man="1"/>
    <brk id="603" max="1048575" man="1"/>
    <brk id="618" max="1048575" man="1"/>
    <brk id="633" max="1048575" man="1"/>
    <brk id="648" max="1048575" man="1"/>
    <brk id="662" max="1048575" man="1"/>
    <brk id="677" max="1048575" man="1"/>
    <brk id="692" max="1048575" man="1"/>
    <brk id="706" max="1048575" man="1"/>
    <brk id="721" max="1048575" man="1"/>
    <brk id="736" max="1048575" man="1"/>
    <brk id="745" max="1048575" man="1"/>
    <brk id="755" max="1048575" man="1"/>
    <brk id="770" max="1048575" man="1"/>
    <brk id="785" max="1048575" man="1"/>
    <brk id="800" max="1048575" man="1"/>
    <brk id="810" max="1048575" man="1"/>
    <brk id="820" max="1048575" man="1"/>
    <brk id="830" max="1048575" man="1"/>
    <brk id="841" max="1048575" man="1"/>
    <brk id="856" max="1048575" man="1"/>
    <brk id="871" max="1048575" man="1"/>
    <brk id="886" max="1048575" man="1"/>
    <brk id="897" max="1048575" man="1"/>
    <brk id="908" max="1048575" man="1"/>
    <brk id="923" max="1048575" man="1"/>
    <brk id="938" max="1048575" man="1"/>
    <brk id="953" max="1048575" man="1"/>
    <brk id="968" max="1048575" man="1"/>
    <brk id="983" max="1048575" man="1"/>
    <brk id="998" max="1048575" man="1"/>
    <brk id="1012" max="1048575" man="1"/>
    <brk id="1027" max="1048575" man="1"/>
    <brk id="1051" max="1048575" man="1"/>
    <brk id="1066" max="1048575" man="1"/>
    <brk id="1090" max="1048575" man="1"/>
    <brk id="1105" max="1048575" man="1"/>
    <brk id="1120" max="1048575" man="1"/>
    <brk id="1134" max="1048575" man="1"/>
    <brk id="1149" max="1048575" man="1"/>
    <brk id="1164" max="1048575" man="1"/>
    <brk id="1178" max="1048575" man="1"/>
    <brk id="1193" max="1048575" man="1"/>
    <brk id="1208" max="1048575" man="1"/>
    <brk id="1222" max="1048575" man="1"/>
    <brk id="1237" max="1048575" man="1"/>
    <brk id="1264" max="1048575" man="1"/>
    <brk id="1279" max="1048575" man="1"/>
    <brk id="1294" max="1048575" man="1"/>
    <brk id="1302" max="1048575" man="1"/>
    <brk id="1316" max="1048575" man="1"/>
    <brk id="1331" max="1048575" man="1"/>
    <brk id="1346" max="1048575" man="1"/>
    <brk id="1360" max="1048575" man="1"/>
    <brk id="1375" max="1048575" man="1"/>
    <brk id="1390" max="1048575" man="1"/>
    <brk id="1407" max="1048575" man="1"/>
    <brk id="1422" max="1048575" man="1"/>
    <brk id="1454" max="1048575" man="1"/>
    <brk id="1469" max="1048575" man="1"/>
    <brk id="1484" max="1048575" man="1"/>
    <brk id="1507" max="1048575" man="1"/>
    <brk id="1515" max="1048575" man="1"/>
    <brk id="1525" max="1048575" man="1"/>
    <brk id="1533" max="1048575" man="1"/>
    <brk id="1543" max="1048575" man="1"/>
    <brk id="1551" max="1048575" man="1"/>
    <brk id="1559" max="1048575" man="1"/>
    <brk id="1581" max="1048575" man="1"/>
    <brk id="1596" max="1048575" man="1"/>
    <brk id="1643" max="1048575" man="1"/>
    <brk id="1655" max="1048575" man="1"/>
    <brk id="1667" max="1048575" man="1"/>
    <brk id="1679" max="1048575" man="1"/>
    <brk id="1691" max="1048575" man="1"/>
    <brk id="1732" max="1048575" man="1"/>
    <brk id="1747" max="1048575" man="1"/>
    <brk id="1762" max="1048575" man="1"/>
    <brk id="1776" max="1048575" man="1"/>
    <brk id="1791" max="1048575" man="1"/>
    <brk id="1806" max="1048575" man="1"/>
    <brk id="1824" max="1048575" man="1"/>
    <brk id="1828" max="1048575" man="1"/>
    <brk id="1836" max="1048575" man="1"/>
    <brk id="1844" max="1048575" man="1"/>
    <brk id="1855" max="1048575" man="1"/>
    <brk id="1865" max="1048575" man="1"/>
    <brk id="1875" max="1048575" man="1"/>
    <brk id="1883" max="1048575" man="1"/>
    <brk id="1904" max="1048575" man="1"/>
    <brk id="1925" max="1048575" man="1"/>
    <brk id="1940" max="1048575" man="1"/>
    <brk id="1955" max="1048575" man="1"/>
    <brk id="1964" max="1048575" man="1"/>
    <brk id="1978" max="1048575" man="1"/>
    <brk id="1990" max="1048575" man="1"/>
    <brk id="1999" max="1048575" man="1"/>
    <brk id="2014" max="1048575" man="1"/>
    <brk id="2043" max="1048575" man="1"/>
    <brk id="2070" max="1048575" man="1"/>
    <brk id="2096" max="1048575" man="1"/>
    <brk id="2162" max="1048575" man="1"/>
    <brk id="2170" max="1048575" man="1"/>
    <brk id="2178" max="1048575" man="1"/>
    <brk id="2186" max="1048575" man="1"/>
    <brk id="2194" max="1048575" man="1"/>
    <brk id="2214" max="1048575" man="1"/>
    <brk id="2229" max="1048575" man="1"/>
    <brk id="2243" max="1048575" man="1"/>
    <brk id="2259" max="1048575" man="1"/>
    <brk id="2278" max="1048575" man="1"/>
    <brk id="2289" max="1048575" man="1"/>
    <brk id="2300" max="1048575" man="1"/>
    <brk id="2401" max="1048575" man="1"/>
    <brk id="2416" max="1048575" man="1"/>
    <brk id="2431" max="1048575" man="1"/>
    <brk id="2445" max="1048575" man="1"/>
    <brk id="2460" max="1048575" man="1"/>
    <brk id="2475" max="1048575" man="1"/>
    <brk id="2489" max="1048575" man="1"/>
    <brk id="2504" max="1048575" man="1"/>
    <brk id="2519" max="1048575" man="1"/>
    <brk id="2533" max="1048575" man="1"/>
    <brk id="2548" max="1048575" man="1"/>
    <brk id="2563" max="1048575" man="1"/>
    <brk id="2571" max="1048575" man="1"/>
    <brk id="2585" max="1048575" man="1"/>
    <brk id="2600" max="1048575" man="1"/>
    <brk id="2615" max="1048575" man="1"/>
    <brk id="2623" max="1048575" man="1"/>
    <brk id="2631" max="1048575" man="1"/>
    <brk id="2639" max="1048575" man="1"/>
    <brk id="2647" max="1048575" man="1"/>
    <brk id="2655" max="1048575" man="1"/>
    <brk id="2663" max="1048575" man="1"/>
    <brk id="2671" max="1048575" man="1"/>
    <brk id="2745" max="1048575" man="1"/>
    <brk id="2753" max="1048575" man="1"/>
    <brk id="2761" max="1048575" man="1"/>
    <brk id="2769" max="1048575" man="1"/>
    <brk id="2846" max="1048575" man="1"/>
    <brk id="2860" max="1048575" man="1"/>
    <brk id="2953" max="1048575" man="1"/>
    <brk id="2968" max="1048575" man="1"/>
    <brk id="2986" max="1048575" man="1"/>
    <brk id="3004" max="1048575" man="1"/>
    <brk id="3022" max="1048575" man="1"/>
    <brk id="3037" max="1048575" man="1"/>
    <brk id="3049" max="1048575" man="1"/>
    <brk id="3151" max="1048575" man="1"/>
    <brk id="3160" max="1048575" man="1"/>
    <brk id="3169" max="1048575" man="1"/>
    <brk id="3241" max="1048575" man="1"/>
    <brk id="3259" max="1048575" man="1"/>
    <brk id="3415" max="1048575" man="1"/>
    <brk id="3430" max="1048575" man="1"/>
    <brk id="3448" max="1048575" man="1"/>
    <brk id="3463" max="1048575" man="1"/>
    <brk id="3475" max="1048575" man="1"/>
    <brk id="3484" max="1048575" man="1"/>
    <brk id="3493" max="1048575" man="1"/>
    <brk id="3502" max="1048575" man="1"/>
    <brk id="3522" max="1048575" man="1"/>
    <brk id="3531" max="1048575" man="1"/>
    <brk id="3539" max="1048575" man="1"/>
    <brk id="3547" max="1048575" man="1"/>
    <brk id="3556" max="1048575" man="1"/>
    <brk id="3565" max="1048575" man="1"/>
    <brk id="3574" max="1048575" man="1"/>
    <brk id="3583" max="1048575" man="1"/>
    <brk id="3598" max="1048575" man="1"/>
    <brk id="3622" max="1048575" man="1"/>
    <brk id="3693" max="1048575" man="1"/>
    <brk id="3704" max="1048575" man="1"/>
    <brk id="3718" max="1048575" man="1"/>
    <brk id="3735" max="1048575" man="1"/>
    <brk id="3753" max="1048575" man="1"/>
    <brk id="3770" max="1048575" man="1"/>
    <brk id="3785" max="1048575" man="1"/>
    <brk id="3796" max="1048575" man="1"/>
    <brk id="3804" max="1048575" man="1"/>
    <brk id="3828" max="1048575" man="1"/>
    <brk id="3852" max="1048575" man="1"/>
    <brk id="3870" max="1048575" man="1"/>
    <brk id="3881" max="1048575" man="1"/>
    <brk id="3952" max="1048575" man="1"/>
    <brk id="3960" max="1048575" man="1"/>
    <brk id="3991" max="1048575" man="1"/>
    <brk id="3999" max="1048575" man="1"/>
    <brk id="4007" max="1048575" man="1"/>
    <brk id="4050" max="1048575" man="1"/>
    <brk id="4058" max="1048575" man="1"/>
    <brk id="4081" max="1048575" man="1"/>
    <brk id="4097" max="1048575" man="1"/>
    <brk id="4105" max="1048575" man="1"/>
    <brk id="4113" max="1048575" man="1"/>
    <brk id="4145" max="1048575" man="1"/>
    <brk id="4162" max="1048575" man="1"/>
    <brk id="4177" max="1048575" man="1"/>
    <brk id="4197" max="1048575" man="1"/>
    <brk id="4212" max="1048575" man="1"/>
    <brk id="4226" max="1048575" man="1"/>
    <brk id="4241" max="1048575" man="1"/>
    <brk id="4255" max="1048575" man="1"/>
    <brk id="4272" max="1048575" man="1"/>
    <brk id="4289" max="1048575" man="1"/>
    <brk id="4306" max="1048575" man="1"/>
    <brk id="4321" max="1048575" man="1"/>
    <brk id="4365" max="1048575" man="1"/>
    <brk id="4376" max="1048575" man="1"/>
    <brk id="4384" max="1048575" man="1"/>
    <brk id="4392" max="1048575" man="1"/>
    <brk id="4400" max="1048575" man="1"/>
    <brk id="4466" max="1048575" man="1"/>
    <brk id="4484" max="1048575" man="1"/>
    <brk id="4511" max="1048575" man="1"/>
    <brk id="4526" max="1048575" man="1"/>
    <brk id="4541" max="1048575" man="1"/>
    <brk id="4550" max="1048575" man="1"/>
    <brk id="4577" max="1048575" man="1"/>
    <brk id="4592" max="1048575" man="1"/>
    <brk id="4625" max="1048575" man="1"/>
    <brk id="4640" max="1048575" man="1"/>
    <brk id="4661" max="1048575" man="1"/>
    <brk id="4676" max="1048575" man="1"/>
    <brk id="4697" max="1048575" man="1"/>
    <brk id="4712" max="1048575" man="1"/>
    <brk id="4733" max="1048575" man="1"/>
    <brk id="4748" max="1048575" man="1"/>
    <brk id="4793" max="1048575" man="1"/>
    <brk id="4826" max="1048575" man="1"/>
    <brk id="4838" max="1048575" man="1"/>
    <brk id="4847" max="1048575" man="1"/>
    <brk id="4883" max="1048575" man="1"/>
    <brk id="4895" max="1048575" man="1"/>
    <brk id="4919" max="1048575" man="1"/>
    <brk id="4937" max="1048575" man="1"/>
    <brk id="4952" max="1048575" man="1"/>
    <brk id="4973" max="1048575" man="1"/>
    <brk id="4988" max="1048575" man="1"/>
    <brk id="5009" max="1048575" man="1"/>
    <brk id="5024" max="1048575" man="1"/>
    <brk id="5045" max="1048575" man="1"/>
    <brk id="5060" max="1048575" man="1"/>
    <brk id="5075" max="1048575" man="1"/>
    <brk id="5081" max="1048575" man="1"/>
    <brk id="5090" max="1048575" man="1"/>
    <brk id="5099" max="1048575" man="1"/>
    <brk id="5108" max="1048575" man="1"/>
    <brk id="5117" max="1048575" man="1"/>
    <brk id="5126" max="1048575" man="1"/>
    <brk id="5141" max="1048575" man="1"/>
    <brk id="5153" max="1048575" man="1"/>
    <brk id="5165" max="1048575" man="1"/>
    <brk id="5177" max="1048575" man="1"/>
    <brk id="5189" max="1048575" man="1"/>
    <brk id="5204" max="1048575" man="1"/>
    <brk id="5213" max="1048575" man="1"/>
    <brk id="5228" max="1048575" man="1"/>
    <brk id="5237" max="1048575" man="1"/>
    <brk id="5252" max="1048575" man="1"/>
    <brk id="5276" max="1048575" man="1"/>
    <brk id="5333" max="1048575" man="1"/>
    <brk id="5348" max="1048575" man="1"/>
    <brk id="5357" max="1048575" man="1"/>
    <brk id="5402" max="1048575" man="1"/>
    <brk id="5429" max="1048575" man="1"/>
    <brk id="5438" max="1048575" man="1"/>
    <brk id="5447" max="1048575" man="1"/>
    <brk id="5456" max="1048575" man="1"/>
    <brk id="5465" max="1048575" man="1"/>
    <brk id="5474" max="1048575" man="1"/>
    <brk id="5483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0"/>
  <sheetViews>
    <sheetView workbookViewId="0">
      <selection activeCell="B12" sqref="B12"/>
    </sheetView>
  </sheetViews>
  <sheetFormatPr defaultRowHeight="15" x14ac:dyDescent="0.25"/>
  <cols>
    <col min="1" max="1" width="16.7109375" customWidth="1"/>
    <col min="2" max="2" width="10.42578125" customWidth="1"/>
    <col min="3" max="3" width="21.5703125" style="11" customWidth="1"/>
    <col min="4" max="4" width="12.7109375" customWidth="1"/>
    <col min="5" max="5" width="12.7109375" style="25" customWidth="1"/>
    <col min="6" max="8" width="12.7109375" customWidth="1"/>
  </cols>
  <sheetData>
    <row r="1" spans="1:8" s="59" customFormat="1" ht="35.1" customHeight="1" x14ac:dyDescent="0.3">
      <c r="A1" s="83" t="s">
        <v>61</v>
      </c>
      <c r="B1" s="84"/>
      <c r="C1" s="85"/>
      <c r="D1" s="90" t="s">
        <v>66</v>
      </c>
      <c r="E1" s="89"/>
      <c r="F1" s="89"/>
      <c r="G1" s="89"/>
      <c r="H1" s="92" t="s">
        <v>67</v>
      </c>
    </row>
    <row r="2" spans="1:8" ht="15" customHeight="1" x14ac:dyDescent="0.25">
      <c r="A2" s="86" t="s">
        <v>68</v>
      </c>
      <c r="B2" s="87"/>
      <c r="C2" s="88"/>
      <c r="D2" s="91"/>
      <c r="E2" s="60" t="s">
        <v>41</v>
      </c>
      <c r="F2" s="1" t="s">
        <v>42</v>
      </c>
      <c r="G2" s="1" t="s">
        <v>43</v>
      </c>
      <c r="H2" s="93"/>
    </row>
    <row r="3" spans="1:8" x14ac:dyDescent="0.25">
      <c r="A3" s="64" t="s">
        <v>44</v>
      </c>
      <c r="B3" s="2"/>
      <c r="C3" s="12"/>
      <c r="D3" s="16">
        <v>0</v>
      </c>
      <c r="E3" s="21">
        <v>0</v>
      </c>
      <c r="F3" s="21">
        <v>0</v>
      </c>
      <c r="G3" s="21">
        <v>0</v>
      </c>
      <c r="H3" s="65">
        <v>0</v>
      </c>
    </row>
    <row r="4" spans="1:8" x14ac:dyDescent="0.25">
      <c r="A4" s="28"/>
      <c r="B4" s="3"/>
      <c r="C4" s="13"/>
      <c r="D4" s="17"/>
      <c r="E4" s="22"/>
      <c r="F4" s="22"/>
      <c r="G4" s="61"/>
      <c r="H4" s="66"/>
    </row>
    <row r="5" spans="1:8" x14ac:dyDescent="0.25">
      <c r="A5" s="64" t="s">
        <v>45</v>
      </c>
      <c r="B5" s="2"/>
      <c r="C5" s="12"/>
      <c r="D5" s="16">
        <v>0</v>
      </c>
      <c r="E5" s="21">
        <v>0</v>
      </c>
      <c r="F5" s="21">
        <v>0</v>
      </c>
      <c r="G5" s="21">
        <v>0</v>
      </c>
      <c r="H5" s="65">
        <v>0</v>
      </c>
    </row>
    <row r="6" spans="1:8" x14ac:dyDescent="0.25">
      <c r="A6" s="28"/>
      <c r="B6" s="3"/>
      <c r="C6" s="13"/>
      <c r="D6" s="18"/>
      <c r="E6" s="23"/>
      <c r="F6" s="23"/>
      <c r="G6" s="60"/>
      <c r="H6" s="67"/>
    </row>
    <row r="7" spans="1:8" x14ac:dyDescent="0.25">
      <c r="A7" s="64" t="s">
        <v>46</v>
      </c>
      <c r="B7" s="2"/>
      <c r="C7" s="12"/>
      <c r="D7" s="16">
        <f>D3-D5</f>
        <v>0</v>
      </c>
      <c r="E7" s="21">
        <f>E3-E5</f>
        <v>0</v>
      </c>
      <c r="F7" s="21">
        <f>F3-F5</f>
        <v>0</v>
      </c>
      <c r="G7" s="21">
        <f>E7-F7</f>
        <v>0</v>
      </c>
      <c r="H7" s="68">
        <f>H3-H5</f>
        <v>0</v>
      </c>
    </row>
    <row r="8" spans="1:8" x14ac:dyDescent="0.25">
      <c r="A8" s="28" t="s">
        <v>47</v>
      </c>
      <c r="B8" s="3"/>
      <c r="C8" s="13"/>
      <c r="D8" s="6"/>
      <c r="E8" s="23"/>
      <c r="F8" s="23"/>
      <c r="G8" s="62"/>
      <c r="H8" s="69"/>
    </row>
    <row r="9" spans="1:8" ht="15.75" thickBot="1" x14ac:dyDescent="0.3">
      <c r="A9" s="4" t="s">
        <v>48</v>
      </c>
      <c r="B9" s="5"/>
      <c r="C9" s="14"/>
      <c r="D9" s="7"/>
      <c r="E9" s="24">
        <f>E7+E8</f>
        <v>0</v>
      </c>
      <c r="F9" s="24">
        <f t="shared" ref="F9" si="0">F7+F8</f>
        <v>0</v>
      </c>
      <c r="G9" s="24"/>
      <c r="H9" s="70"/>
    </row>
    <row r="10" spans="1:8" ht="15.75" thickBot="1" x14ac:dyDescent="0.3">
      <c r="A10" s="54"/>
      <c r="B10" s="55"/>
      <c r="C10" s="56"/>
      <c r="D10" s="57"/>
      <c r="E10" s="58"/>
      <c r="F10" s="58"/>
      <c r="G10" s="58"/>
      <c r="H10" s="63"/>
    </row>
  </sheetData>
  <mergeCells count="5">
    <mergeCell ref="A2:C2"/>
    <mergeCell ref="A1:C1"/>
    <mergeCell ref="E1:G1"/>
    <mergeCell ref="D1:D2"/>
    <mergeCell ref="H1:H2"/>
  </mergeCells>
  <conditionalFormatting sqref="E4">
    <cfRule type="expression" priority="1">
      <formula>$A$4=""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3</vt:i4>
      </vt:variant>
    </vt:vector>
  </HeadingPairs>
  <TitlesOfParts>
    <vt:vector size="14" baseType="lpstr">
      <vt:lpstr>Период</vt:lpstr>
      <vt:lpstr>Неделя</vt:lpstr>
      <vt:lpstr>Остатки</vt:lpstr>
      <vt:lpstr>Вспомогательные данные</vt:lpstr>
      <vt:lpstr>СводнаяТаблица_Периоды</vt:lpstr>
      <vt:lpstr>СводнаяТаблица_ТрансферыНедели</vt:lpstr>
      <vt:lpstr>СводнаяТаблица_ТрансферыПериоды</vt:lpstr>
      <vt:lpstr>ВызовФормы</vt:lpstr>
      <vt:lpstr>СводнаяТаблица_Недели</vt:lpstr>
      <vt:lpstr>Отчет</vt:lpstr>
      <vt:lpstr>ШаблонОтчета</vt:lpstr>
      <vt:lpstr>Отчет!Заголовки_для_печати</vt:lpstr>
      <vt:lpstr>Формат_СальдоВходящее</vt:lpstr>
      <vt:lpstr>ШаблонОтчета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AlexHodorik</cp:lastModifiedBy>
  <cp:lastPrinted>2016-07-25T12:58:30Z</cp:lastPrinted>
  <dcterms:created xsi:type="dcterms:W3CDTF">2016-04-13T20:12:41Z</dcterms:created>
  <dcterms:modified xsi:type="dcterms:W3CDTF">2016-08-04T12:09:30Z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0d4ce7be-267e-4563-8350-be0a7320f3d6</vt:lpwstr>
  </property>
</Properties>
</file>